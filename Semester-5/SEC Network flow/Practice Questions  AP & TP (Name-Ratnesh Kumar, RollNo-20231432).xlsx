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MC1\Downloads\"/>
    </mc:Choice>
  </mc:AlternateContent>
  <bookViews>
    <workbookView xWindow="0" yWindow="0" windowWidth="28800" windowHeight="11655" activeTab="6"/>
  </bookViews>
  <sheets>
    <sheet name="1" sheetId="1" r:id="rId1"/>
    <sheet name="2" sheetId="2" r:id="rId2"/>
    <sheet name="3" sheetId="3" r:id="rId3"/>
    <sheet name="4" sheetId="4" r:id="rId4"/>
    <sheet name="5" sheetId="5" r:id="rId5"/>
    <sheet name="6" sheetId="6" r:id="rId6"/>
    <sheet name="7" sheetId="7" r:id="rId7"/>
    <sheet name="8" sheetId="8" r:id="rId8"/>
    <sheet name="9" sheetId="9" r:id="rId9"/>
    <sheet name="10" sheetId="10" r:id="rId10"/>
    <sheet name="11" sheetId="11" r:id="rId11"/>
    <sheet name="12" sheetId="12" r:id="rId12"/>
    <sheet name="13" sheetId="13" r:id="rId13"/>
    <sheet name="14" sheetId="14" r:id="rId14"/>
    <sheet name="15" sheetId="15" r:id="rId15"/>
    <sheet name="16" sheetId="16" r:id="rId16"/>
  </sheets>
  <definedNames>
    <definedName name="solver_adj" localSheetId="0" hidden="1">'1'!$G$22:$J$24</definedName>
    <definedName name="solver_adj" localSheetId="9" hidden="1">'10'!$G$24:$I$28</definedName>
    <definedName name="solver_adj" localSheetId="10" hidden="1">'11'!$G$23:$K$27</definedName>
    <definedName name="solver_adj" localSheetId="11" hidden="1">'12'!$G$23:$K$27</definedName>
    <definedName name="solver_adj" localSheetId="12" hidden="1">'13'!$G$22:$J$25</definedName>
    <definedName name="solver_adj" localSheetId="13" hidden="1">'14'!$G$23:$K$27</definedName>
    <definedName name="solver_adj" localSheetId="14" hidden="1">'15'!$G$23:$K$27</definedName>
    <definedName name="solver_adj" localSheetId="15" hidden="1">'16'!$G$23:$K$27</definedName>
    <definedName name="solver_adj" localSheetId="1" hidden="1">'2'!$G$22:$J$25</definedName>
    <definedName name="solver_adj" localSheetId="2" hidden="1">'3'!$G$22:$J$24</definedName>
    <definedName name="solver_adj" localSheetId="3" hidden="1">'4'!$G$22:$J$24</definedName>
    <definedName name="solver_adj" localSheetId="4" hidden="1">'5'!$F$23:$H$26</definedName>
    <definedName name="solver_adj" localSheetId="5" hidden="1">'6'!$G$22:$I$24</definedName>
    <definedName name="solver_adj" localSheetId="6" hidden="1">'7'!$G$23:$L$26</definedName>
    <definedName name="solver_adj" localSheetId="7" hidden="1">'8'!$G$22:$J$24</definedName>
    <definedName name="solver_adj" localSheetId="8" hidden="1">'9'!$G$22:$J$24</definedName>
    <definedName name="solver_cvg" localSheetId="0" hidden="1">0.0001</definedName>
    <definedName name="solver_cvg" localSheetId="9" hidden="1">0.0001</definedName>
    <definedName name="solver_cvg" localSheetId="10" hidden="1">0.0001</definedName>
    <definedName name="solver_cvg" localSheetId="11" hidden="1">0.0001</definedName>
    <definedName name="solver_cvg" localSheetId="12" hidden="1">0.0001</definedName>
    <definedName name="solver_cvg" localSheetId="13" hidden="1">0.0001</definedName>
    <definedName name="solver_cvg" localSheetId="14" hidden="1">0.0001</definedName>
    <definedName name="solver_cvg" localSheetId="15" hidden="1">0.0001</definedName>
    <definedName name="solver_cvg" localSheetId="1" hidden="1">0.0001</definedName>
    <definedName name="solver_cvg" localSheetId="2" hidden="1">0.0001</definedName>
    <definedName name="solver_cvg" localSheetId="3" hidden="1">0.0001</definedName>
    <definedName name="solver_cvg" localSheetId="4" hidden="1">0.0001</definedName>
    <definedName name="solver_cvg" localSheetId="5" hidden="1">0.0001</definedName>
    <definedName name="solver_cvg" localSheetId="6" hidden="1">0.0001</definedName>
    <definedName name="solver_cvg" localSheetId="7" hidden="1">0.0001</definedName>
    <definedName name="solver_cvg" localSheetId="8" hidden="1">0.0001</definedName>
    <definedName name="solver_drv" localSheetId="0" hidden="1">1</definedName>
    <definedName name="solver_drv" localSheetId="9" hidden="1">1</definedName>
    <definedName name="solver_drv" localSheetId="10" hidden="1">1</definedName>
    <definedName name="solver_drv" localSheetId="11" hidden="1">1</definedName>
    <definedName name="solver_drv" localSheetId="12" hidden="1">1</definedName>
    <definedName name="solver_drv" localSheetId="13" hidden="1">1</definedName>
    <definedName name="solver_drv" localSheetId="14" hidden="1">1</definedName>
    <definedName name="solver_drv" localSheetId="15" hidden="1">1</definedName>
    <definedName name="solver_drv" localSheetId="1" hidden="1">1</definedName>
    <definedName name="solver_drv" localSheetId="2" hidden="1">1</definedName>
    <definedName name="solver_drv" localSheetId="3" hidden="1">1</definedName>
    <definedName name="solver_drv" localSheetId="4" hidden="1">1</definedName>
    <definedName name="solver_drv" localSheetId="5" hidden="1">1</definedName>
    <definedName name="solver_drv" localSheetId="6" hidden="1">1</definedName>
    <definedName name="solver_drv" localSheetId="7" hidden="1">1</definedName>
    <definedName name="solver_drv" localSheetId="8" hidden="1">1</definedName>
    <definedName name="solver_eng" localSheetId="0" hidden="1">2</definedName>
    <definedName name="solver_eng" localSheetId="9" hidden="1">2</definedName>
    <definedName name="solver_eng" localSheetId="10" hidden="1">2</definedName>
    <definedName name="solver_eng" localSheetId="11" hidden="1">2</definedName>
    <definedName name="solver_eng" localSheetId="12" hidden="1">2</definedName>
    <definedName name="solver_eng" localSheetId="13" hidden="1">2</definedName>
    <definedName name="solver_eng" localSheetId="14" hidden="1">2</definedName>
    <definedName name="solver_eng" localSheetId="15" hidden="1">2</definedName>
    <definedName name="solver_eng" localSheetId="1" hidden="1">2</definedName>
    <definedName name="solver_eng" localSheetId="2" hidden="1">2</definedName>
    <definedName name="solver_eng" localSheetId="3" hidden="1">2</definedName>
    <definedName name="solver_eng" localSheetId="4" hidden="1">2</definedName>
    <definedName name="solver_eng" localSheetId="5" hidden="1">2</definedName>
    <definedName name="solver_eng" localSheetId="6" hidden="1">2</definedName>
    <definedName name="solver_eng" localSheetId="7" hidden="1">2</definedName>
    <definedName name="solver_eng" localSheetId="8" hidden="1">2</definedName>
    <definedName name="solver_est" localSheetId="0" hidden="1">1</definedName>
    <definedName name="solver_est" localSheetId="9" hidden="1">1</definedName>
    <definedName name="solver_est" localSheetId="10" hidden="1">1</definedName>
    <definedName name="solver_est" localSheetId="11" hidden="1">1</definedName>
    <definedName name="solver_est" localSheetId="12" hidden="1">1</definedName>
    <definedName name="solver_est" localSheetId="13" hidden="1">1</definedName>
    <definedName name="solver_est" localSheetId="14" hidden="1">1</definedName>
    <definedName name="solver_est" localSheetId="15" hidden="1">1</definedName>
    <definedName name="solver_est" localSheetId="1" hidden="1">1</definedName>
    <definedName name="solver_est" localSheetId="2" hidden="1">1</definedName>
    <definedName name="solver_est" localSheetId="3" hidden="1">1</definedName>
    <definedName name="solver_est" localSheetId="4" hidden="1">1</definedName>
    <definedName name="solver_est" localSheetId="5" hidden="1">1</definedName>
    <definedName name="solver_est" localSheetId="6" hidden="1">1</definedName>
    <definedName name="solver_est" localSheetId="7" hidden="1">1</definedName>
    <definedName name="solver_est" localSheetId="8" hidden="1">1</definedName>
    <definedName name="solver_itr" localSheetId="0" hidden="1">2147483647</definedName>
    <definedName name="solver_itr" localSheetId="9" hidden="1">2147483647</definedName>
    <definedName name="solver_itr" localSheetId="10" hidden="1">2147483647</definedName>
    <definedName name="solver_itr" localSheetId="11" hidden="1">2147483647</definedName>
    <definedName name="solver_itr" localSheetId="12" hidden="1">2147483647</definedName>
    <definedName name="solver_itr" localSheetId="13" hidden="1">2147483647</definedName>
    <definedName name="solver_itr" localSheetId="14" hidden="1">2147483647</definedName>
    <definedName name="solver_itr" localSheetId="15" hidden="1">2147483647</definedName>
    <definedName name="solver_itr" localSheetId="1" hidden="1">2147483647</definedName>
    <definedName name="solver_itr" localSheetId="2" hidden="1">2147483647</definedName>
    <definedName name="solver_itr" localSheetId="3" hidden="1">2147483647</definedName>
    <definedName name="solver_itr" localSheetId="4" hidden="1">2147483647</definedName>
    <definedName name="solver_itr" localSheetId="5" hidden="1">2147483647</definedName>
    <definedName name="solver_itr" localSheetId="6" hidden="1">2147483647</definedName>
    <definedName name="solver_itr" localSheetId="7" hidden="1">2147483647</definedName>
    <definedName name="solver_itr" localSheetId="8" hidden="1">2147483647</definedName>
    <definedName name="solver_lhs0" localSheetId="0" hidden="1">'1'!$N$21:$N$23</definedName>
    <definedName name="solver_lhs0" localSheetId="9" hidden="1">'10'!$G$29:$I$29</definedName>
    <definedName name="solver_lhs0" localSheetId="2" hidden="1">'3'!$K$21:$K$23</definedName>
    <definedName name="solver_lhs0" localSheetId="3" hidden="1">'4'!$K$21:$K$23</definedName>
    <definedName name="solver_lhs0" localSheetId="4" hidden="1">'5'!$I$23:$I$26</definedName>
    <definedName name="solver_lhs0" localSheetId="5" hidden="1">'6'!$G$25:$I$25</definedName>
    <definedName name="solver_lhs0" localSheetId="6" hidden="1">'7'!$G$27:$L$27</definedName>
    <definedName name="solver_lhs0" localSheetId="7" hidden="1">'8'!$G$25:$J$25</definedName>
    <definedName name="solver_lhs0" localSheetId="8" hidden="1">'9'!$G$25:$J$25</definedName>
    <definedName name="solver_lhs1" localSheetId="0" hidden="1">'1'!$G$25:$J$25</definedName>
    <definedName name="solver_lhs1" localSheetId="9" hidden="1">'10'!$G$29:$I$29</definedName>
    <definedName name="solver_lhs1" localSheetId="10" hidden="1">'11'!$G$28:$K$28</definedName>
    <definedName name="solver_lhs1" localSheetId="11" hidden="1">'12'!$G$28:$K$28</definedName>
    <definedName name="solver_lhs1" localSheetId="12" hidden="1">'13'!$G$26:$J$26</definedName>
    <definedName name="solver_lhs1" localSheetId="13" hidden="1">'14'!$G$28:$K$28</definedName>
    <definedName name="solver_lhs1" localSheetId="14" hidden="1">'15'!$G$28:$K$28</definedName>
    <definedName name="solver_lhs1" localSheetId="15" hidden="1">'16'!$G$28:$K$28</definedName>
    <definedName name="solver_lhs1" localSheetId="1" hidden="1">'2'!$G$26:$J$26</definedName>
    <definedName name="solver_lhs1" localSheetId="2" hidden="1">'3'!$G$25:$J$25</definedName>
    <definedName name="solver_lhs1" localSheetId="3" hidden="1">'4'!$G$25:$J$25</definedName>
    <definedName name="solver_lhs1" localSheetId="4" hidden="1">'5'!$F$27:$H$27</definedName>
    <definedName name="solver_lhs1" localSheetId="5" hidden="1">'6'!$G$25:$I$25</definedName>
    <definedName name="solver_lhs1" localSheetId="6" hidden="1">'7'!$G$27:$L$27</definedName>
    <definedName name="solver_lhs1" localSheetId="7" hidden="1">'8'!$G$25:$J$25</definedName>
    <definedName name="solver_lhs1" localSheetId="8" hidden="1">'9'!$G$25:$J$25</definedName>
    <definedName name="solver_lhs2" localSheetId="0" hidden="1">'1'!$K$22:$K$24</definedName>
    <definedName name="solver_lhs2" localSheetId="9" hidden="1">'10'!$J$24:$J$28</definedName>
    <definedName name="solver_lhs2" localSheetId="10" hidden="1">'11'!$L$23:$L$27</definedName>
    <definedName name="solver_lhs2" localSheetId="11" hidden="1">'12'!$L$23:$L$27</definedName>
    <definedName name="solver_lhs2" localSheetId="12" hidden="1">'13'!$K$22:$K$25</definedName>
    <definedName name="solver_lhs2" localSheetId="13" hidden="1">'14'!$L$23:$L$27</definedName>
    <definedName name="solver_lhs2" localSheetId="14" hidden="1">'15'!$L$23:$L$27</definedName>
    <definedName name="solver_lhs2" localSheetId="15" hidden="1">'16'!$L$23:$L$27</definedName>
    <definedName name="solver_lhs2" localSheetId="1" hidden="1">'2'!$K$22:$K$25</definedName>
    <definedName name="solver_lhs2" localSheetId="2" hidden="1">'3'!$K$22:$K$24</definedName>
    <definedName name="solver_lhs2" localSheetId="3" hidden="1">'4'!$K$22:$K$24</definedName>
    <definedName name="solver_lhs2" localSheetId="4" hidden="1">'5'!$I$23:$I$26</definedName>
    <definedName name="solver_lhs2" localSheetId="5" hidden="1">'6'!$J$22:$J$24</definedName>
    <definedName name="solver_lhs2" localSheetId="6" hidden="1">'7'!$M$23:$M$26</definedName>
    <definedName name="solver_lhs2" localSheetId="7" hidden="1">'8'!$K$22:$K$24</definedName>
    <definedName name="solver_lhs2" localSheetId="8" hidden="1">'9'!$K$22:$K$24</definedName>
    <definedName name="solver_lhs3" localSheetId="0">'1'!$N$21:$N$23</definedName>
    <definedName name="solver_lhs3" localSheetId="4" hidden="1">'5'!$I$23:$I$26</definedName>
    <definedName name="solver_lhs4" localSheetId="0">'1'!$N$21:$N$23</definedName>
    <definedName name="solver_mip" localSheetId="0" hidden="1">2147483647</definedName>
    <definedName name="solver_mip" localSheetId="9" hidden="1">2147483647</definedName>
    <definedName name="solver_mip" localSheetId="10" hidden="1">2147483647</definedName>
    <definedName name="solver_mip" localSheetId="11" hidden="1">2147483647</definedName>
    <definedName name="solver_mip" localSheetId="12" hidden="1">2147483647</definedName>
    <definedName name="solver_mip" localSheetId="13" hidden="1">2147483647</definedName>
    <definedName name="solver_mip" localSheetId="14" hidden="1">2147483647</definedName>
    <definedName name="solver_mip" localSheetId="15" hidden="1">2147483647</definedName>
    <definedName name="solver_mip" localSheetId="1" hidden="1">2147483647</definedName>
    <definedName name="solver_mip" localSheetId="2" hidden="1">2147483647</definedName>
    <definedName name="solver_mip" localSheetId="3" hidden="1">2147483647</definedName>
    <definedName name="solver_mip" localSheetId="4" hidden="1">2147483647</definedName>
    <definedName name="solver_mip" localSheetId="5" hidden="1">2147483647</definedName>
    <definedName name="solver_mip" localSheetId="6" hidden="1">2147483647</definedName>
    <definedName name="solver_mip" localSheetId="7" hidden="1">2147483647</definedName>
    <definedName name="solver_mip" localSheetId="8" hidden="1">2147483647</definedName>
    <definedName name="solver_mni" localSheetId="0" hidden="1">30</definedName>
    <definedName name="solver_mni" localSheetId="9" hidden="1">30</definedName>
    <definedName name="solver_mni" localSheetId="10" hidden="1">30</definedName>
    <definedName name="solver_mni" localSheetId="11" hidden="1">30</definedName>
    <definedName name="solver_mni" localSheetId="12" hidden="1">30</definedName>
    <definedName name="solver_mni" localSheetId="13" hidden="1">30</definedName>
    <definedName name="solver_mni" localSheetId="14" hidden="1">30</definedName>
    <definedName name="solver_mni" localSheetId="15" hidden="1">30</definedName>
    <definedName name="solver_mni" localSheetId="1" hidden="1">30</definedName>
    <definedName name="solver_mni" localSheetId="2" hidden="1">30</definedName>
    <definedName name="solver_mni" localSheetId="3" hidden="1">30</definedName>
    <definedName name="solver_mni" localSheetId="4" hidden="1">30</definedName>
    <definedName name="solver_mni" localSheetId="5" hidden="1">30</definedName>
    <definedName name="solver_mni" localSheetId="6" hidden="1">30</definedName>
    <definedName name="solver_mni" localSheetId="7" hidden="1">30</definedName>
    <definedName name="solver_mni" localSheetId="8" hidden="1">30</definedName>
    <definedName name="solver_mrt" localSheetId="0" hidden="1">0.075</definedName>
    <definedName name="solver_mrt" localSheetId="9" hidden="1">0.075</definedName>
    <definedName name="solver_mrt" localSheetId="10" hidden="1">0.075</definedName>
    <definedName name="solver_mrt" localSheetId="11" hidden="1">0.075</definedName>
    <definedName name="solver_mrt" localSheetId="12" hidden="1">0.075</definedName>
    <definedName name="solver_mrt" localSheetId="13" hidden="1">0.075</definedName>
    <definedName name="solver_mrt" localSheetId="14" hidden="1">0.075</definedName>
    <definedName name="solver_mrt" localSheetId="15" hidden="1">0.075</definedName>
    <definedName name="solver_mrt" localSheetId="1" hidden="1">0.075</definedName>
    <definedName name="solver_mrt" localSheetId="2" hidden="1">0.075</definedName>
    <definedName name="solver_mrt" localSheetId="3" hidden="1">0.075</definedName>
    <definedName name="solver_mrt" localSheetId="4" hidden="1">0.075</definedName>
    <definedName name="solver_mrt" localSheetId="5" hidden="1">0.075</definedName>
    <definedName name="solver_mrt" localSheetId="6" hidden="1">0.075</definedName>
    <definedName name="solver_mrt" localSheetId="7" hidden="1">0.075</definedName>
    <definedName name="solver_mrt" localSheetId="8" hidden="1">0.075</definedName>
    <definedName name="solver_msl" localSheetId="0" hidden="1">2</definedName>
    <definedName name="solver_msl" localSheetId="9" hidden="1">2</definedName>
    <definedName name="solver_msl" localSheetId="10" hidden="1">2</definedName>
    <definedName name="solver_msl" localSheetId="11" hidden="1">2</definedName>
    <definedName name="solver_msl" localSheetId="12" hidden="1">2</definedName>
    <definedName name="solver_msl" localSheetId="13" hidden="1">2</definedName>
    <definedName name="solver_msl" localSheetId="14" hidden="1">2</definedName>
    <definedName name="solver_msl" localSheetId="15" hidden="1">2</definedName>
    <definedName name="solver_msl" localSheetId="1" hidden="1">2</definedName>
    <definedName name="solver_msl" localSheetId="2" hidden="1">2</definedName>
    <definedName name="solver_msl" localSheetId="3" hidden="1">2</definedName>
    <definedName name="solver_msl" localSheetId="4" hidden="1">2</definedName>
    <definedName name="solver_msl" localSheetId="5" hidden="1">2</definedName>
    <definedName name="solver_msl" localSheetId="6" hidden="1">2</definedName>
    <definedName name="solver_msl" localSheetId="7" hidden="1">2</definedName>
    <definedName name="solver_msl" localSheetId="8" hidden="1">2</definedName>
    <definedName name="solver_neg" localSheetId="0" hidden="1">1</definedName>
    <definedName name="solver_neg" localSheetId="9" hidden="1">1</definedName>
    <definedName name="solver_neg" localSheetId="10" hidden="1">1</definedName>
    <definedName name="solver_neg" localSheetId="11" hidden="1">1</definedName>
    <definedName name="solver_neg" localSheetId="12" hidden="1">1</definedName>
    <definedName name="solver_neg" localSheetId="13" hidden="1">1</definedName>
    <definedName name="solver_neg" localSheetId="14" hidden="1">1</definedName>
    <definedName name="solver_neg" localSheetId="15" hidden="1">1</definedName>
    <definedName name="solver_neg" localSheetId="1" hidden="1">1</definedName>
    <definedName name="solver_neg" localSheetId="2" hidden="1">1</definedName>
    <definedName name="solver_neg" localSheetId="3" hidden="1">1</definedName>
    <definedName name="solver_neg" localSheetId="4" hidden="1">1</definedName>
    <definedName name="solver_neg" localSheetId="5" hidden="1">1</definedName>
    <definedName name="solver_neg" localSheetId="6" hidden="1">1</definedName>
    <definedName name="solver_neg" localSheetId="7" hidden="1">1</definedName>
    <definedName name="solver_neg" localSheetId="8" hidden="1">1</definedName>
    <definedName name="solver_nod" localSheetId="0" hidden="1">2147483647</definedName>
    <definedName name="solver_nod" localSheetId="9" hidden="1">2147483647</definedName>
    <definedName name="solver_nod" localSheetId="10" hidden="1">2147483647</definedName>
    <definedName name="solver_nod" localSheetId="11" hidden="1">2147483647</definedName>
    <definedName name="solver_nod" localSheetId="12" hidden="1">2147483647</definedName>
    <definedName name="solver_nod" localSheetId="13" hidden="1">2147483647</definedName>
    <definedName name="solver_nod" localSheetId="14" hidden="1">2147483647</definedName>
    <definedName name="solver_nod" localSheetId="15" hidden="1">2147483647</definedName>
    <definedName name="solver_nod" localSheetId="1" hidden="1">2147483647</definedName>
    <definedName name="solver_nod" localSheetId="2" hidden="1">2147483647</definedName>
    <definedName name="solver_nod" localSheetId="3" hidden="1">2147483647</definedName>
    <definedName name="solver_nod" localSheetId="4" hidden="1">2147483647</definedName>
    <definedName name="solver_nod" localSheetId="5" hidden="1">2147483647</definedName>
    <definedName name="solver_nod" localSheetId="6" hidden="1">2147483647</definedName>
    <definedName name="solver_nod" localSheetId="7" hidden="1">2147483647</definedName>
    <definedName name="solver_nod" localSheetId="8" hidden="1">2147483647</definedName>
    <definedName name="solver_num" localSheetId="0" hidden="1">2</definedName>
    <definedName name="solver_num" localSheetId="9" hidden="1">2</definedName>
    <definedName name="solver_num" localSheetId="10" hidden="1">2</definedName>
    <definedName name="solver_num" localSheetId="11" hidden="1">2</definedName>
    <definedName name="solver_num" localSheetId="12" hidden="1">2</definedName>
    <definedName name="solver_num" localSheetId="13" hidden="1">2</definedName>
    <definedName name="solver_num" localSheetId="14" hidden="1">2</definedName>
    <definedName name="solver_num" localSheetId="15" hidden="1">2</definedName>
    <definedName name="solver_num" localSheetId="1" hidden="1">2</definedName>
    <definedName name="solver_num" localSheetId="2" hidden="1">2</definedName>
    <definedName name="solver_num" localSheetId="3" hidden="1">2</definedName>
    <definedName name="solver_num" localSheetId="4" hidden="1">2</definedName>
    <definedName name="solver_num" localSheetId="5" hidden="1">2</definedName>
    <definedName name="solver_num" localSheetId="6" hidden="1">2</definedName>
    <definedName name="solver_num" localSheetId="7" hidden="1">2</definedName>
    <definedName name="solver_num" localSheetId="8" hidden="1">2</definedName>
    <definedName name="solver_nwt" localSheetId="0" hidden="1">1</definedName>
    <definedName name="solver_nwt" localSheetId="9" hidden="1">1</definedName>
    <definedName name="solver_nwt" localSheetId="10" hidden="1">1</definedName>
    <definedName name="solver_nwt" localSheetId="11" hidden="1">1</definedName>
    <definedName name="solver_nwt" localSheetId="12" hidden="1">1</definedName>
    <definedName name="solver_nwt" localSheetId="13" hidden="1">1</definedName>
    <definedName name="solver_nwt" localSheetId="14" hidden="1">1</definedName>
    <definedName name="solver_nwt" localSheetId="15" hidden="1">1</definedName>
    <definedName name="solver_nwt" localSheetId="1" hidden="1">1</definedName>
    <definedName name="solver_nwt" localSheetId="2" hidden="1">1</definedName>
    <definedName name="solver_nwt" localSheetId="3" hidden="1">1</definedName>
    <definedName name="solver_nwt" localSheetId="4" hidden="1">1</definedName>
    <definedName name="solver_nwt" localSheetId="5" hidden="1">1</definedName>
    <definedName name="solver_nwt" localSheetId="6" hidden="1">1</definedName>
    <definedName name="solver_nwt" localSheetId="7" hidden="1">1</definedName>
    <definedName name="solver_nwt" localSheetId="8" hidden="1">1</definedName>
    <definedName name="solver_opt" localSheetId="0" hidden="1">'1'!$L$26</definedName>
    <definedName name="solver_opt" localSheetId="9" hidden="1">'10'!$K$30</definedName>
    <definedName name="solver_opt" localSheetId="10" hidden="1">'11'!$M$29</definedName>
    <definedName name="solver_opt" localSheetId="11" hidden="1">'12'!$M$29</definedName>
    <definedName name="solver_opt" localSheetId="12" hidden="1">'13'!$L$27</definedName>
    <definedName name="solver_opt" localSheetId="13" hidden="1">'14'!$M$29</definedName>
    <definedName name="solver_opt" localSheetId="14" hidden="1">'15'!$M$29</definedName>
    <definedName name="solver_opt" localSheetId="15" hidden="1">'16'!$M$29</definedName>
    <definedName name="solver_opt" localSheetId="1" hidden="1">'2'!$L$27</definedName>
    <definedName name="solver_opt" localSheetId="2" hidden="1">'3'!$L$26</definedName>
    <definedName name="solver_opt" localSheetId="3" hidden="1">'4'!$L$26</definedName>
    <definedName name="solver_opt" localSheetId="4" hidden="1">'5'!$J$28</definedName>
    <definedName name="solver_opt" localSheetId="5" hidden="1">'6'!$L$26</definedName>
    <definedName name="solver_opt" localSheetId="6" hidden="1">'7'!$N$28</definedName>
    <definedName name="solver_opt" localSheetId="7" hidden="1">'8'!$L$26</definedName>
    <definedName name="solver_opt" localSheetId="8" hidden="1">'9'!$L$26</definedName>
    <definedName name="solver_pre" localSheetId="0" hidden="1">0.000001</definedName>
    <definedName name="solver_pre" localSheetId="9" hidden="1">0.000001</definedName>
    <definedName name="solver_pre" localSheetId="10" hidden="1">0.000001</definedName>
    <definedName name="solver_pre" localSheetId="11" hidden="1">0.000001</definedName>
    <definedName name="solver_pre" localSheetId="12" hidden="1">0.000001</definedName>
    <definedName name="solver_pre" localSheetId="13" hidden="1">0.000001</definedName>
    <definedName name="solver_pre" localSheetId="14" hidden="1">0.000001</definedName>
    <definedName name="solver_pre" localSheetId="15" hidden="1">0.000001</definedName>
    <definedName name="solver_pre" localSheetId="1" hidden="1">0.000001</definedName>
    <definedName name="solver_pre" localSheetId="2" hidden="1">0.000001</definedName>
    <definedName name="solver_pre" localSheetId="3" hidden="1">0.000001</definedName>
    <definedName name="solver_pre" localSheetId="4" hidden="1">0.000001</definedName>
    <definedName name="solver_pre" localSheetId="5" hidden="1">0.000001</definedName>
    <definedName name="solver_pre" localSheetId="6" hidden="1">0.000001</definedName>
    <definedName name="solver_pre" localSheetId="7" hidden="1">0.000001</definedName>
    <definedName name="solver_pre" localSheetId="8" hidden="1">0.000001</definedName>
    <definedName name="solver_rbv" localSheetId="0" hidden="1">1</definedName>
    <definedName name="solver_rbv" localSheetId="9" hidden="1">1</definedName>
    <definedName name="solver_rbv" localSheetId="10" hidden="1">1</definedName>
    <definedName name="solver_rbv" localSheetId="11" hidden="1">1</definedName>
    <definedName name="solver_rbv" localSheetId="12" hidden="1">1</definedName>
    <definedName name="solver_rbv" localSheetId="13" hidden="1">1</definedName>
    <definedName name="solver_rbv" localSheetId="14" hidden="1">1</definedName>
    <definedName name="solver_rbv" localSheetId="15" hidden="1">1</definedName>
    <definedName name="solver_rbv" localSheetId="1" hidden="1">1</definedName>
    <definedName name="solver_rbv" localSheetId="2" hidden="1">1</definedName>
    <definedName name="solver_rbv" localSheetId="3" hidden="1">1</definedName>
    <definedName name="solver_rbv" localSheetId="4" hidden="1">1</definedName>
    <definedName name="solver_rbv" localSheetId="5" hidden="1">1</definedName>
    <definedName name="solver_rbv" localSheetId="6" hidden="1">1</definedName>
    <definedName name="solver_rbv" localSheetId="7" hidden="1">1</definedName>
    <definedName name="solver_rbv" localSheetId="8" hidden="1">1</definedName>
    <definedName name="solver_rel0" localSheetId="0" hidden="1">2</definedName>
    <definedName name="solver_rel0" localSheetId="9" hidden="1">2</definedName>
    <definedName name="solver_rel0" localSheetId="2" hidden="1">2</definedName>
    <definedName name="solver_rel0" localSheetId="3" hidden="1">2</definedName>
    <definedName name="solver_rel0" localSheetId="4" hidden="1">2</definedName>
    <definedName name="solver_rel0" localSheetId="5" hidden="1">2</definedName>
    <definedName name="solver_rel0" localSheetId="6" hidden="1">2</definedName>
    <definedName name="solver_rel0" localSheetId="7" hidden="1">2</definedName>
    <definedName name="solver_rel0" localSheetId="8" hidden="1">2</definedName>
    <definedName name="solver_rel1" localSheetId="0" hidden="1">2</definedName>
    <definedName name="solver_rel1" localSheetId="9" hidden="1">2</definedName>
    <definedName name="solver_rel1" localSheetId="10" hidden="1">2</definedName>
    <definedName name="solver_rel1" localSheetId="11" hidden="1">2</definedName>
    <definedName name="solver_rel1" localSheetId="12" hidden="1">2</definedName>
    <definedName name="solver_rel1" localSheetId="13" hidden="1">2</definedName>
    <definedName name="solver_rel1" localSheetId="14" hidden="1">2</definedName>
    <definedName name="solver_rel1" localSheetId="15" hidden="1">2</definedName>
    <definedName name="solver_rel1" localSheetId="1" hidden="1">2</definedName>
    <definedName name="solver_rel1" localSheetId="2" hidden="1">2</definedName>
    <definedName name="solver_rel1" localSheetId="3" hidden="1">2</definedName>
    <definedName name="solver_rel1" localSheetId="4" hidden="1">2</definedName>
    <definedName name="solver_rel1" localSheetId="5" hidden="1">2</definedName>
    <definedName name="solver_rel1" localSheetId="6" hidden="1">2</definedName>
    <definedName name="solver_rel1" localSheetId="7" hidden="1">2</definedName>
    <definedName name="solver_rel1" localSheetId="8" hidden="1">2</definedName>
    <definedName name="solver_rel2" localSheetId="0" hidden="1">2</definedName>
    <definedName name="solver_rel2" localSheetId="9" hidden="1">2</definedName>
    <definedName name="solver_rel2" localSheetId="10" hidden="1">2</definedName>
    <definedName name="solver_rel2" localSheetId="11" hidden="1">2</definedName>
    <definedName name="solver_rel2" localSheetId="12" hidden="1">2</definedName>
    <definedName name="solver_rel2" localSheetId="13" hidden="1">2</definedName>
    <definedName name="solver_rel2" localSheetId="14" hidden="1">2</definedName>
    <definedName name="solver_rel2" localSheetId="15" hidden="1">2</definedName>
    <definedName name="solver_rel2" localSheetId="1" hidden="1">2</definedName>
    <definedName name="solver_rel2" localSheetId="2" hidden="1">2</definedName>
    <definedName name="solver_rel2" localSheetId="3" hidden="1">2</definedName>
    <definedName name="solver_rel2" localSheetId="4" hidden="1">2</definedName>
    <definedName name="solver_rel2" localSheetId="5" hidden="1">2</definedName>
    <definedName name="solver_rel2" localSheetId="6" hidden="1">2</definedName>
    <definedName name="solver_rel2" localSheetId="7" hidden="1">2</definedName>
    <definedName name="solver_rel2" localSheetId="8" hidden="1">2</definedName>
    <definedName name="solver_rel3" localSheetId="0">2</definedName>
    <definedName name="solver_rel3" localSheetId="4" hidden="1">2</definedName>
    <definedName name="solver_rel4" localSheetId="0">2</definedName>
    <definedName name="solver_rhs0" localSheetId="0" hidden="1">'1'!$M$21:$M$23</definedName>
    <definedName name="solver_rhs0" localSheetId="9" hidden="1">'10'!$G$32:$I$32</definedName>
    <definedName name="solver_rhs0" localSheetId="2" hidden="1">'3'!$M$21:$M$23</definedName>
    <definedName name="solver_rhs0" localSheetId="3" hidden="1">'4'!$M$21:$M$23</definedName>
    <definedName name="solver_rhs0" localSheetId="4" hidden="1">'5'!$L$23:$L$26</definedName>
    <definedName name="solver_rhs0" localSheetId="5" hidden="1">'6'!$G$28:$I$28</definedName>
    <definedName name="solver_rhs0" localSheetId="6" hidden="1">'7'!$G$30:$L$30</definedName>
    <definedName name="solver_rhs0" localSheetId="7" hidden="1">'8'!$G$28:$J$28</definedName>
    <definedName name="solver_rhs0" localSheetId="8" hidden="1">'9'!$G$28:$J$28</definedName>
    <definedName name="solver_rhs1" localSheetId="0" hidden="1">'1'!$G$28:$J$28</definedName>
    <definedName name="solver_rhs1" localSheetId="9" hidden="1">'10'!$G$32:$I$32</definedName>
    <definedName name="solver_rhs1" localSheetId="10" hidden="1">'11'!$G$31:$K$31</definedName>
    <definedName name="solver_rhs1" localSheetId="11" hidden="1">'12'!$G$31:$K$31</definedName>
    <definedName name="solver_rhs1" localSheetId="12" hidden="1">'13'!$G$29:$J$29</definedName>
    <definedName name="solver_rhs1" localSheetId="13" hidden="1">'14'!$G$31:$K$31</definedName>
    <definedName name="solver_rhs1" localSheetId="14" hidden="1">'15'!$G$31:$K$31</definedName>
    <definedName name="solver_rhs1" localSheetId="15" hidden="1">'16'!$G$31:$K$31</definedName>
    <definedName name="solver_rhs1" localSheetId="1" hidden="1">'2'!$G$29:$J$29</definedName>
    <definedName name="solver_rhs1" localSheetId="2" hidden="1">'3'!$G$28:$J$28</definedName>
    <definedName name="solver_rhs1" localSheetId="3" hidden="1">'4'!$G$28:$J$28</definedName>
    <definedName name="solver_rhs1" localSheetId="4" hidden="1">'5'!$F$30:$H$30</definedName>
    <definedName name="solver_rhs1" localSheetId="5" hidden="1">'6'!$G$28:$I$28</definedName>
    <definedName name="solver_rhs1" localSheetId="6" hidden="1">'7'!$G$30:$L$30</definedName>
    <definedName name="solver_rhs1" localSheetId="7" hidden="1">'8'!$G$28:$J$28</definedName>
    <definedName name="solver_rhs1" localSheetId="8" hidden="1">'9'!$G$28:$J$28</definedName>
    <definedName name="solver_rhs2" localSheetId="0" hidden="1">'1'!$N$22:$N$24</definedName>
    <definedName name="solver_rhs2" localSheetId="9" hidden="1">'10'!$M$24:$M$28</definedName>
    <definedName name="solver_rhs2" localSheetId="10" hidden="1">'11'!$O$23:$O$27</definedName>
    <definedName name="solver_rhs2" localSheetId="11" hidden="1">'12'!$O$23:$O$27</definedName>
    <definedName name="solver_rhs2" localSheetId="12" hidden="1">'13'!$N$22:$N$25</definedName>
    <definedName name="solver_rhs2" localSheetId="13" hidden="1">'14'!$O$23:$O$27</definedName>
    <definedName name="solver_rhs2" localSheetId="14" hidden="1">'15'!$O$23:$O$27</definedName>
    <definedName name="solver_rhs2" localSheetId="15" hidden="1">'16'!$O$23:$O$27</definedName>
    <definedName name="solver_rhs2" localSheetId="1" hidden="1">'2'!$N$22:$N$25</definedName>
    <definedName name="solver_rhs2" localSheetId="2" hidden="1">'3'!$N$22:$N$24</definedName>
    <definedName name="solver_rhs2" localSheetId="3" hidden="1">'4'!$N$22:$N$24</definedName>
    <definedName name="solver_rhs2" localSheetId="4" hidden="1">'5'!$L$23:$L$26</definedName>
    <definedName name="solver_rhs2" localSheetId="5" hidden="1">'6'!$M$22:$M$24</definedName>
    <definedName name="solver_rhs2" localSheetId="6" hidden="1">'7'!$P$23:$P$26</definedName>
    <definedName name="solver_rhs2" localSheetId="7" hidden="1">'8'!$N$22:$N$24</definedName>
    <definedName name="solver_rhs2" localSheetId="8" hidden="1">'9'!$N$22:$N$24</definedName>
    <definedName name="solver_rhs3" localSheetId="0">'1'!$M$21:$M$23</definedName>
    <definedName name="solver_rhs3" localSheetId="4" hidden="1">'5'!$L$23:$L$26</definedName>
    <definedName name="solver_rhs4" localSheetId="0">'1'!$M$21:$M$23</definedName>
    <definedName name="solver_rlx" localSheetId="0" hidden="1">2</definedName>
    <definedName name="solver_rlx" localSheetId="9" hidden="1">2</definedName>
    <definedName name="solver_rlx" localSheetId="10" hidden="1">2</definedName>
    <definedName name="solver_rlx" localSheetId="11" hidden="1">2</definedName>
    <definedName name="solver_rlx" localSheetId="12" hidden="1">2</definedName>
    <definedName name="solver_rlx" localSheetId="13" hidden="1">2</definedName>
    <definedName name="solver_rlx" localSheetId="14" hidden="1">2</definedName>
    <definedName name="solver_rlx" localSheetId="15" hidden="1">2</definedName>
    <definedName name="solver_rlx" localSheetId="1" hidden="1">2</definedName>
    <definedName name="solver_rlx" localSheetId="2" hidden="1">2</definedName>
    <definedName name="solver_rlx" localSheetId="3" hidden="1">2</definedName>
    <definedName name="solver_rlx" localSheetId="4" hidden="1">2</definedName>
    <definedName name="solver_rlx" localSheetId="5" hidden="1">2</definedName>
    <definedName name="solver_rlx" localSheetId="6" hidden="1">2</definedName>
    <definedName name="solver_rlx" localSheetId="7" hidden="1">2</definedName>
    <definedName name="solver_rlx" localSheetId="8" hidden="1">2</definedName>
    <definedName name="solver_rsd" localSheetId="0" hidden="1">0</definedName>
    <definedName name="solver_rsd" localSheetId="9" hidden="1">0</definedName>
    <definedName name="solver_rsd" localSheetId="10" hidden="1">0</definedName>
    <definedName name="solver_rsd" localSheetId="11" hidden="1">0</definedName>
    <definedName name="solver_rsd" localSheetId="12" hidden="1">0</definedName>
    <definedName name="solver_rsd" localSheetId="13" hidden="1">0</definedName>
    <definedName name="solver_rsd" localSheetId="14" hidden="1">0</definedName>
    <definedName name="solver_rsd" localSheetId="15" hidden="1">0</definedName>
    <definedName name="solver_rsd" localSheetId="1" hidden="1">0</definedName>
    <definedName name="solver_rsd" localSheetId="2" hidden="1">0</definedName>
    <definedName name="solver_rsd" localSheetId="3" hidden="1">0</definedName>
    <definedName name="solver_rsd" localSheetId="4" hidden="1">0</definedName>
    <definedName name="solver_rsd" localSheetId="5" hidden="1">0</definedName>
    <definedName name="solver_rsd" localSheetId="6" hidden="1">0</definedName>
    <definedName name="solver_rsd" localSheetId="7" hidden="1">0</definedName>
    <definedName name="solver_rsd" localSheetId="8" hidden="1">0</definedName>
    <definedName name="solver_scl" localSheetId="0" hidden="1">1</definedName>
    <definedName name="solver_scl" localSheetId="9" hidden="1">1</definedName>
    <definedName name="solver_scl" localSheetId="10" hidden="1">1</definedName>
    <definedName name="solver_scl" localSheetId="11" hidden="1">1</definedName>
    <definedName name="solver_scl" localSheetId="12" hidden="1">1</definedName>
    <definedName name="solver_scl" localSheetId="13" hidden="1">1</definedName>
    <definedName name="solver_scl" localSheetId="14" hidden="1">1</definedName>
    <definedName name="solver_scl" localSheetId="15" hidden="1">1</definedName>
    <definedName name="solver_scl" localSheetId="1" hidden="1">1</definedName>
    <definedName name="solver_scl" localSheetId="2" hidden="1">1</definedName>
    <definedName name="solver_scl" localSheetId="3" hidden="1">1</definedName>
    <definedName name="solver_scl" localSheetId="4" hidden="1">1</definedName>
    <definedName name="solver_scl" localSheetId="5" hidden="1">1</definedName>
    <definedName name="solver_scl" localSheetId="6" hidden="1">1</definedName>
    <definedName name="solver_scl" localSheetId="7" hidden="1">1</definedName>
    <definedName name="solver_scl" localSheetId="8" hidden="1">1</definedName>
    <definedName name="solver_sho" localSheetId="0" hidden="1">2</definedName>
    <definedName name="solver_sho" localSheetId="9" hidden="1">2</definedName>
    <definedName name="solver_sho" localSheetId="10" hidden="1">2</definedName>
    <definedName name="solver_sho" localSheetId="11" hidden="1">2</definedName>
    <definedName name="solver_sho" localSheetId="12" hidden="1">2</definedName>
    <definedName name="solver_sho" localSheetId="13" hidden="1">2</definedName>
    <definedName name="solver_sho" localSheetId="14" hidden="1">2</definedName>
    <definedName name="solver_sho" localSheetId="15" hidden="1">2</definedName>
    <definedName name="solver_sho" localSheetId="1" hidden="1">2</definedName>
    <definedName name="solver_sho" localSheetId="2" hidden="1">2</definedName>
    <definedName name="solver_sho" localSheetId="3" hidden="1">2</definedName>
    <definedName name="solver_sho" localSheetId="4" hidden="1">2</definedName>
    <definedName name="solver_sho" localSheetId="5" hidden="1">2</definedName>
    <definedName name="solver_sho" localSheetId="6" hidden="1">2</definedName>
    <definedName name="solver_sho" localSheetId="7" hidden="1">2</definedName>
    <definedName name="solver_sho" localSheetId="8" hidden="1">2</definedName>
    <definedName name="solver_ssz" localSheetId="0" hidden="1">100</definedName>
    <definedName name="solver_ssz" localSheetId="9" hidden="1">100</definedName>
    <definedName name="solver_ssz" localSheetId="10" hidden="1">100</definedName>
    <definedName name="solver_ssz" localSheetId="11" hidden="1">100</definedName>
    <definedName name="solver_ssz" localSheetId="12" hidden="1">100</definedName>
    <definedName name="solver_ssz" localSheetId="13" hidden="1">100</definedName>
    <definedName name="solver_ssz" localSheetId="14" hidden="1">100</definedName>
    <definedName name="solver_ssz" localSheetId="15" hidden="1">100</definedName>
    <definedName name="solver_ssz" localSheetId="1" hidden="1">100</definedName>
    <definedName name="solver_ssz" localSheetId="2" hidden="1">100</definedName>
    <definedName name="solver_ssz" localSheetId="3" hidden="1">100</definedName>
    <definedName name="solver_ssz" localSheetId="4" hidden="1">100</definedName>
    <definedName name="solver_ssz" localSheetId="5" hidden="1">100</definedName>
    <definedName name="solver_ssz" localSheetId="6" hidden="1">100</definedName>
    <definedName name="solver_ssz" localSheetId="7" hidden="1">100</definedName>
    <definedName name="solver_ssz" localSheetId="8" hidden="1">100</definedName>
    <definedName name="solver_tim" localSheetId="0" hidden="1">2147483647</definedName>
    <definedName name="solver_tim" localSheetId="9" hidden="1">2147483647</definedName>
    <definedName name="solver_tim" localSheetId="10" hidden="1">2147483647</definedName>
    <definedName name="solver_tim" localSheetId="11" hidden="1">2147483647</definedName>
    <definedName name="solver_tim" localSheetId="12" hidden="1">2147483647</definedName>
    <definedName name="solver_tim" localSheetId="13" hidden="1">2147483647</definedName>
    <definedName name="solver_tim" localSheetId="14" hidden="1">2147483647</definedName>
    <definedName name="solver_tim" localSheetId="15" hidden="1">2147483647</definedName>
    <definedName name="solver_tim" localSheetId="1" hidden="1">2147483647</definedName>
    <definedName name="solver_tim" localSheetId="2" hidden="1">2147483647</definedName>
    <definedName name="solver_tim" localSheetId="3" hidden="1">2147483647</definedName>
    <definedName name="solver_tim" localSheetId="4" hidden="1">2147483647</definedName>
    <definedName name="solver_tim" localSheetId="5" hidden="1">2147483647</definedName>
    <definedName name="solver_tim" localSheetId="6" hidden="1">2147483647</definedName>
    <definedName name="solver_tim" localSheetId="7" hidden="1">2147483647</definedName>
    <definedName name="solver_tim" localSheetId="8" hidden="1">2147483647</definedName>
    <definedName name="solver_tol" localSheetId="0" hidden="1">0.01</definedName>
    <definedName name="solver_tol" localSheetId="9" hidden="1">0.01</definedName>
    <definedName name="solver_tol" localSheetId="10" hidden="1">0.01</definedName>
    <definedName name="solver_tol" localSheetId="11" hidden="1">0.01</definedName>
    <definedName name="solver_tol" localSheetId="12" hidden="1">0.01</definedName>
    <definedName name="solver_tol" localSheetId="13" hidden="1">0.01</definedName>
    <definedName name="solver_tol" localSheetId="14" hidden="1">0.01</definedName>
    <definedName name="solver_tol" localSheetId="15" hidden="1">0.01</definedName>
    <definedName name="solver_tol" localSheetId="1" hidden="1">0.01</definedName>
    <definedName name="solver_tol" localSheetId="2" hidden="1">0.01</definedName>
    <definedName name="solver_tol" localSheetId="3" hidden="1">0.01</definedName>
    <definedName name="solver_tol" localSheetId="4" hidden="1">0.01</definedName>
    <definedName name="solver_tol" localSheetId="5" hidden="1">0.01</definedName>
    <definedName name="solver_tol" localSheetId="6" hidden="1">0.01</definedName>
    <definedName name="solver_tol" localSheetId="7" hidden="1">0.01</definedName>
    <definedName name="solver_tol" localSheetId="8" hidden="1">0.01</definedName>
    <definedName name="solver_typ" localSheetId="0" hidden="1">2</definedName>
    <definedName name="solver_typ" localSheetId="9" hidden="1">2</definedName>
    <definedName name="solver_typ" localSheetId="10" hidden="1">2</definedName>
    <definedName name="solver_typ" localSheetId="11" hidden="1">2</definedName>
    <definedName name="solver_typ" localSheetId="12" hidden="1">2</definedName>
    <definedName name="solver_typ" localSheetId="13" hidden="1">2</definedName>
    <definedName name="solver_typ" localSheetId="14" hidden="1">2</definedName>
    <definedName name="solver_typ" localSheetId="15" hidden="1">2</definedName>
    <definedName name="solver_typ" localSheetId="1" hidden="1">2</definedName>
    <definedName name="solver_typ" localSheetId="2" hidden="1">2</definedName>
    <definedName name="solver_typ" localSheetId="3" hidden="1">2</definedName>
    <definedName name="solver_typ" localSheetId="4" hidden="1">2</definedName>
    <definedName name="solver_typ" localSheetId="5" hidden="1">2</definedName>
    <definedName name="solver_typ" localSheetId="6" hidden="1">2</definedName>
    <definedName name="solver_typ" localSheetId="7" hidden="1">2</definedName>
    <definedName name="solver_typ" localSheetId="8" hidden="1">2</definedName>
    <definedName name="solver_val" localSheetId="0" hidden="1">0</definedName>
    <definedName name="solver_val" localSheetId="9" hidden="1">0</definedName>
    <definedName name="solver_val" localSheetId="10" hidden="1">0</definedName>
    <definedName name="solver_val" localSheetId="11" hidden="1">0</definedName>
    <definedName name="solver_val" localSheetId="12" hidden="1">0</definedName>
    <definedName name="solver_val" localSheetId="13" hidden="1">0</definedName>
    <definedName name="solver_val" localSheetId="14" hidden="1">0</definedName>
    <definedName name="solver_val" localSheetId="15" hidden="1">0</definedName>
    <definedName name="solver_val" localSheetId="1" hidden="1">0</definedName>
    <definedName name="solver_val" localSheetId="2" hidden="1">0</definedName>
    <definedName name="solver_val" localSheetId="3" hidden="1">0</definedName>
    <definedName name="solver_val" localSheetId="4" hidden="1">0</definedName>
    <definedName name="solver_val" localSheetId="5" hidden="1">0</definedName>
    <definedName name="solver_val" localSheetId="6" hidden="1">0</definedName>
    <definedName name="solver_val" localSheetId="7" hidden="1">0</definedName>
    <definedName name="solver_val" localSheetId="8" hidden="1">0</definedName>
    <definedName name="solver_ver" localSheetId="0" hidden="1">3</definedName>
    <definedName name="solver_ver" localSheetId="9" hidden="1">3</definedName>
    <definedName name="solver_ver" localSheetId="10" hidden="1">3</definedName>
    <definedName name="solver_ver" localSheetId="11" hidden="1">3</definedName>
    <definedName name="solver_ver" localSheetId="12" hidden="1">3</definedName>
    <definedName name="solver_ver" localSheetId="13" hidden="1">3</definedName>
    <definedName name="solver_ver" localSheetId="14" hidden="1">3</definedName>
    <definedName name="solver_ver" localSheetId="15" hidden="1">3</definedName>
    <definedName name="solver_ver" localSheetId="1" hidden="1">3</definedName>
    <definedName name="solver_ver" localSheetId="2" hidden="1">3</definedName>
    <definedName name="solver_ver" localSheetId="3" hidden="1">3</definedName>
    <definedName name="solver_ver" localSheetId="4" hidden="1">3</definedName>
    <definedName name="solver_ver" localSheetId="5" hidden="1">3</definedName>
    <definedName name="solver_ver" localSheetId="6" hidden="1">3</definedName>
    <definedName name="solver_ver" localSheetId="7" hidden="1">3</definedName>
    <definedName name="solver_ver" localSheetId="8" hidden="1">3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7" roundtripDataChecksum="VFrzyFxeHLn4BGpZ2Pb26UPpe6Qux1xFNIislFb9l/Q="/>
    </ext>
  </extLst>
</workbook>
</file>

<file path=xl/calcChain.xml><?xml version="1.0" encoding="utf-8"?>
<calcChain xmlns="http://schemas.openxmlformats.org/spreadsheetml/2006/main">
  <c r="M29" i="16" l="1"/>
  <c r="K28" i="16"/>
  <c r="J28" i="16"/>
  <c r="I28" i="16"/>
  <c r="H28" i="16"/>
  <c r="G28" i="16"/>
  <c r="L27" i="16"/>
  <c r="L26" i="16"/>
  <c r="L25" i="16"/>
  <c r="L24" i="16"/>
  <c r="L23" i="16"/>
  <c r="M29" i="15"/>
  <c r="K28" i="15"/>
  <c r="J28" i="15"/>
  <c r="I28" i="15"/>
  <c r="H28" i="15"/>
  <c r="G28" i="15"/>
  <c r="L27" i="15"/>
  <c r="L26" i="15"/>
  <c r="L25" i="15"/>
  <c r="L24" i="15"/>
  <c r="L23" i="15"/>
  <c r="M29" i="14"/>
  <c r="K28" i="14"/>
  <c r="J28" i="14"/>
  <c r="I28" i="14"/>
  <c r="H28" i="14"/>
  <c r="G28" i="14"/>
  <c r="L27" i="14"/>
  <c r="L26" i="14"/>
  <c r="L25" i="14"/>
  <c r="L24" i="14"/>
  <c r="L23" i="14"/>
  <c r="H26" i="13"/>
  <c r="I26" i="13"/>
  <c r="J26" i="13"/>
  <c r="K23" i="13"/>
  <c r="K24" i="13"/>
  <c r="K25" i="13"/>
  <c r="K22" i="13"/>
  <c r="L27" i="13"/>
  <c r="G26" i="13"/>
  <c r="M29" i="12"/>
  <c r="K28" i="12"/>
  <c r="J28" i="12"/>
  <c r="I28" i="12"/>
  <c r="H28" i="12"/>
  <c r="G28" i="12"/>
  <c r="L27" i="12"/>
  <c r="L26" i="12"/>
  <c r="L25" i="12"/>
  <c r="L24" i="12"/>
  <c r="L23" i="12"/>
  <c r="L23" i="11"/>
  <c r="I28" i="11"/>
  <c r="M29" i="11"/>
  <c r="G28" i="11"/>
  <c r="J28" i="11"/>
  <c r="K28" i="11"/>
  <c r="L24" i="11"/>
  <c r="L25" i="11"/>
  <c r="L26" i="11"/>
  <c r="L27" i="11"/>
  <c r="H28" i="11"/>
  <c r="J28" i="10"/>
  <c r="K30" i="10"/>
  <c r="H29" i="10"/>
  <c r="I29" i="10"/>
  <c r="G29" i="10"/>
  <c r="J27" i="10"/>
  <c r="J26" i="10"/>
  <c r="J25" i="10"/>
  <c r="J24" i="10"/>
  <c r="L26" i="9"/>
  <c r="J25" i="9"/>
  <c r="I25" i="9"/>
  <c r="H25" i="9"/>
  <c r="G25" i="9"/>
  <c r="K24" i="9"/>
  <c r="K23" i="9"/>
  <c r="K22" i="9"/>
  <c r="L26" i="8"/>
  <c r="J25" i="8"/>
  <c r="I25" i="8"/>
  <c r="H25" i="8"/>
  <c r="G25" i="8"/>
  <c r="K24" i="8"/>
  <c r="K23" i="8"/>
  <c r="K22" i="8"/>
  <c r="N28" i="7"/>
  <c r="M24" i="7"/>
  <c r="M25" i="7"/>
  <c r="M26" i="7"/>
  <c r="M23" i="7"/>
  <c r="H27" i="7"/>
  <c r="I27" i="7"/>
  <c r="J27" i="7"/>
  <c r="K27" i="7"/>
  <c r="L27" i="7"/>
  <c r="G27" i="7"/>
  <c r="L26" i="6"/>
  <c r="I25" i="6"/>
  <c r="H25" i="6"/>
  <c r="G25" i="6"/>
  <c r="J24" i="6"/>
  <c r="J23" i="6"/>
  <c r="J22" i="6"/>
  <c r="F27" i="5"/>
  <c r="I23" i="5"/>
  <c r="J28" i="5"/>
  <c r="H27" i="5"/>
  <c r="G27" i="5"/>
  <c r="I26" i="5"/>
  <c r="I25" i="5"/>
  <c r="I24" i="5"/>
  <c r="L26" i="4"/>
  <c r="J25" i="4"/>
  <c r="I25" i="4"/>
  <c r="H25" i="4"/>
  <c r="G25" i="4"/>
  <c r="K24" i="4"/>
  <c r="K23" i="4"/>
  <c r="K22" i="4"/>
  <c r="L26" i="3"/>
  <c r="J25" i="3"/>
  <c r="I25" i="3"/>
  <c r="H25" i="3"/>
  <c r="G25" i="3"/>
  <c r="K24" i="3"/>
  <c r="K23" i="3"/>
  <c r="K22" i="3"/>
  <c r="K23" i="2"/>
  <c r="K24" i="2"/>
  <c r="K25" i="2"/>
  <c r="K22" i="2"/>
  <c r="H26" i="2"/>
  <c r="I26" i="2"/>
  <c r="J26" i="2"/>
  <c r="G26" i="2"/>
  <c r="L27" i="2"/>
  <c r="L26" i="1"/>
  <c r="K23" i="1"/>
  <c r="K24" i="1"/>
  <c r="K22" i="1"/>
  <c r="H25" i="1"/>
  <c r="I25" i="1"/>
  <c r="J25" i="1"/>
  <c r="G25" i="1"/>
  <c r="N13" i="9" l="1"/>
  <c r="M13" i="6"/>
  <c r="M14" i="6"/>
  <c r="N12" i="4"/>
  <c r="O12" i="3"/>
  <c r="O12" i="2"/>
  <c r="M15" i="10"/>
  <c r="M14" i="10"/>
  <c r="N14" i="9"/>
  <c r="N14" i="8"/>
  <c r="N13" i="8"/>
  <c r="P14" i="7"/>
  <c r="P13" i="7"/>
  <c r="L13" i="5"/>
  <c r="L12" i="5"/>
  <c r="N13" i="4"/>
  <c r="O13" i="3"/>
  <c r="O13" i="2"/>
  <c r="O13" i="1"/>
  <c r="O12" i="1"/>
</calcChain>
</file>

<file path=xl/sharedStrings.xml><?xml version="1.0" encoding="utf-8"?>
<sst xmlns="http://schemas.openxmlformats.org/spreadsheetml/2006/main" count="715" uniqueCount="47">
  <si>
    <t xml:space="preserve">Practice Question </t>
  </si>
  <si>
    <t xml:space="preserve">Transportation Problem </t>
  </si>
  <si>
    <t xml:space="preserve">Question - 1 </t>
  </si>
  <si>
    <t xml:space="preserve">Cost </t>
  </si>
  <si>
    <t>DESTINATION</t>
  </si>
  <si>
    <t>D1</t>
  </si>
  <si>
    <t>D2</t>
  </si>
  <si>
    <t>D3</t>
  </si>
  <si>
    <t>D4</t>
  </si>
  <si>
    <t>SUPPLY</t>
  </si>
  <si>
    <t>o1</t>
  </si>
  <si>
    <t>Origin</t>
  </si>
  <si>
    <t>o2</t>
  </si>
  <si>
    <t>o3</t>
  </si>
  <si>
    <t>DEMAND</t>
  </si>
  <si>
    <t xml:space="preserve">Question 2 </t>
  </si>
  <si>
    <t>Question 3</t>
  </si>
  <si>
    <t>Question 4</t>
  </si>
  <si>
    <t>Question 5</t>
  </si>
  <si>
    <t>o4</t>
  </si>
  <si>
    <t>Question 6</t>
  </si>
  <si>
    <t>Question 7</t>
  </si>
  <si>
    <t>D5</t>
  </si>
  <si>
    <t>D6</t>
  </si>
  <si>
    <t>Question 8</t>
  </si>
  <si>
    <t>Question 9</t>
  </si>
  <si>
    <t>Question 10</t>
  </si>
  <si>
    <t>o5</t>
  </si>
  <si>
    <t>Assignment Problem</t>
  </si>
  <si>
    <t>Question 1</t>
  </si>
  <si>
    <t>CUSTOMER</t>
  </si>
  <si>
    <t>LOCATION</t>
  </si>
  <si>
    <t>Question 2</t>
  </si>
  <si>
    <t>Man</t>
  </si>
  <si>
    <t>job</t>
  </si>
  <si>
    <t>Job</t>
  </si>
  <si>
    <t>man</t>
  </si>
  <si>
    <t>mec</t>
  </si>
  <si>
    <t xml:space="preserve">SUM </t>
  </si>
  <si>
    <t>SUM</t>
  </si>
  <si>
    <t>Total</t>
  </si>
  <si>
    <t>EQUAL</t>
  </si>
  <si>
    <t>Solution Matrix</t>
  </si>
  <si>
    <t>Total Cost</t>
  </si>
  <si>
    <t>Name - Ratnesh Kumar</t>
  </si>
  <si>
    <t>Roll no. -20231432</t>
  </si>
  <si>
    <t>Course - B.Sc(Hons) Computer Science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</si>
</sst>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</font>
    <font>
      <b/>
      <sz val="14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theme="0"/>
      <name val="Calibri"/>
      <family val="2"/>
    </font>
    <font>
      <sz val="11"/>
      <color theme="1"/>
      <name val="Calibri"/>
      <family val="2"/>
    </font>
    <font>
      <sz val="11"/>
      <color rgb="FFFA7D00"/>
      <name val="Calibri"/>
      <family val="2"/>
    </font>
    <font>
      <sz val="11"/>
      <color rgb="FF3F3F76"/>
      <name val="Calibri"/>
      <family val="2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</font>
    <font>
      <b/>
      <sz val="11"/>
      <color rgb="FFFA7D00"/>
      <name val="Calibri"/>
      <family val="2"/>
    </font>
    <font>
      <sz val="11"/>
      <color theme="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A5A5A5"/>
        <bgColor rgb="FFA5A5A5"/>
      </patternFill>
    </fill>
    <fill>
      <patternFill patternType="solid">
        <fgColor rgb="FFFFFFCC"/>
        <bgColor rgb="FFFFFFCC"/>
      </patternFill>
    </fill>
    <fill>
      <patternFill patternType="solid">
        <fgColor rgb="FFFBE4D5"/>
        <bgColor rgb="FFFBE4D5"/>
      </patternFill>
    </fill>
    <fill>
      <patternFill patternType="solid">
        <fgColor rgb="FFFFCC99"/>
        <bgColor rgb="FFFFCC99"/>
      </patternFill>
    </fill>
    <fill>
      <patternFill patternType="solid">
        <fgColor theme="9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C7CE"/>
      </patternFill>
    </fill>
    <fill>
      <patternFill patternType="solid">
        <fgColor theme="0"/>
        <bgColor rgb="FFFBE4D5"/>
      </patternFill>
    </fill>
    <fill>
      <patternFill patternType="solid">
        <fgColor theme="0"/>
      </patternFill>
    </fill>
    <fill>
      <patternFill patternType="solid">
        <fgColor theme="0"/>
        <bgColor rgb="FFF2F2F2"/>
      </patternFill>
    </fill>
    <fill>
      <patternFill patternType="solid">
        <fgColor theme="0"/>
        <bgColor rgb="FFFFD965"/>
      </patternFill>
    </fill>
    <fill>
      <patternFill patternType="solid">
        <fgColor theme="0"/>
        <bgColor rgb="FFFFFFC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2"/>
        <bgColor indexed="64"/>
      </patternFill>
    </fill>
    <fill>
      <patternFill patternType="solid">
        <fgColor theme="4" tint="0.39997558519241921"/>
        <bgColor indexed="64"/>
      </patternFill>
    </fill>
  </fills>
  <borders count="11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3" fillId="6" borderId="0" applyNumberFormat="0" applyBorder="0" applyAlignment="0" applyProtection="0"/>
    <xf numFmtId="0" fontId="14" fillId="14" borderId="5" applyNumberFormat="0" applyAlignment="0" applyProtection="0"/>
    <xf numFmtId="0" fontId="15" fillId="0" borderId="4" applyNumberFormat="0" applyFill="0" applyAlignment="0" applyProtection="0"/>
    <xf numFmtId="0" fontId="16" fillId="15" borderId="1" applyNumberFormat="0" applyAlignment="0" applyProtection="0"/>
  </cellStyleXfs>
  <cellXfs count="41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2" borderId="1" xfId="0" applyFont="1" applyFill="1" applyBorder="1"/>
    <xf numFmtId="0" fontId="7" fillId="3" borderId="2" xfId="0" applyFont="1" applyFill="1" applyBorder="1"/>
    <xf numFmtId="0" fontId="7" fillId="4" borderId="3" xfId="0" applyFont="1" applyFill="1" applyBorder="1"/>
    <xf numFmtId="0" fontId="8" fillId="0" borderId="4" xfId="0" applyFont="1" applyBorder="1"/>
    <xf numFmtId="0" fontId="9" fillId="5" borderId="5" xfId="0" applyFont="1" applyFill="1" applyBorder="1"/>
    <xf numFmtId="0" fontId="10" fillId="0" borderId="0" xfId="0" applyFont="1"/>
    <xf numFmtId="0" fontId="9" fillId="5" borderId="6" xfId="0" applyFont="1" applyFill="1" applyBorder="1"/>
    <xf numFmtId="0" fontId="0" fillId="0" borderId="3" xfId="0" applyBorder="1"/>
    <xf numFmtId="0" fontId="9" fillId="5" borderId="3" xfId="0" applyFont="1" applyFill="1" applyBorder="1"/>
    <xf numFmtId="0" fontId="8" fillId="0" borderId="3" xfId="0" applyFont="1" applyBorder="1"/>
    <xf numFmtId="0" fontId="2" fillId="0" borderId="0" xfId="0" applyFont="1"/>
    <xf numFmtId="0" fontId="0" fillId="7" borderId="0" xfId="0" applyFill="1"/>
    <xf numFmtId="0" fontId="10" fillId="7" borderId="0" xfId="0" applyFont="1" applyFill="1"/>
    <xf numFmtId="0" fontId="11" fillId="8" borderId="3" xfId="0" applyFont="1" applyFill="1" applyBorder="1"/>
    <xf numFmtId="0" fontId="7" fillId="9" borderId="3" xfId="0" applyFont="1" applyFill="1" applyBorder="1"/>
    <xf numFmtId="0" fontId="13" fillId="10" borderId="3" xfId="1" applyFill="1" applyBorder="1"/>
    <xf numFmtId="0" fontId="7" fillId="12" borderId="3" xfId="0" applyFont="1" applyFill="1" applyBorder="1"/>
    <xf numFmtId="0" fontId="2" fillId="7" borderId="0" xfId="0" applyFont="1" applyFill="1"/>
    <xf numFmtId="0" fontId="0" fillId="7" borderId="3" xfId="0" applyFill="1" applyBorder="1"/>
    <xf numFmtId="0" fontId="7" fillId="13" borderId="3" xfId="0" applyFont="1" applyFill="1" applyBorder="1"/>
    <xf numFmtId="0" fontId="8" fillId="16" borderId="3" xfId="0" applyFont="1" applyFill="1" applyBorder="1"/>
    <xf numFmtId="0" fontId="1" fillId="0" borderId="0" xfId="0" applyFont="1"/>
    <xf numFmtId="0" fontId="1" fillId="7" borderId="3" xfId="0" applyFont="1" applyFill="1" applyBorder="1"/>
    <xf numFmtId="0" fontId="1" fillId="17" borderId="7" xfId="0" applyFont="1" applyFill="1" applyBorder="1"/>
    <xf numFmtId="0" fontId="16" fillId="15" borderId="1" xfId="4" applyAlignment="1">
      <alignment horizontal="center"/>
    </xf>
    <xf numFmtId="0" fontId="14" fillId="14" borderId="5" xfId="2"/>
    <xf numFmtId="0" fontId="8" fillId="7" borderId="3" xfId="0" applyFont="1" applyFill="1" applyBorder="1"/>
    <xf numFmtId="0" fontId="16" fillId="7" borderId="3" xfId="4" applyFill="1" applyBorder="1"/>
    <xf numFmtId="0" fontId="16" fillId="7" borderId="3" xfId="4" applyFill="1" applyBorder="1" applyAlignment="1">
      <alignment horizontal="center"/>
    </xf>
    <xf numFmtId="0" fontId="1" fillId="17" borderId="8" xfId="0" applyFont="1" applyFill="1" applyBorder="1"/>
    <xf numFmtId="0" fontId="15" fillId="0" borderId="4" xfId="3"/>
    <xf numFmtId="0" fontId="9" fillId="5" borderId="9" xfId="0" applyFont="1" applyFill="1" applyBorder="1"/>
    <xf numFmtId="0" fontId="0" fillId="0" borderId="7" xfId="0" applyBorder="1"/>
    <xf numFmtId="0" fontId="12" fillId="11" borderId="3" xfId="0" applyFont="1" applyFill="1" applyBorder="1"/>
    <xf numFmtId="0" fontId="14" fillId="14" borderId="7" xfId="2" applyBorder="1"/>
    <xf numFmtId="0" fontId="1" fillId="17" borderId="10" xfId="0" applyFont="1" applyFill="1" applyBorder="1"/>
    <xf numFmtId="0" fontId="14" fillId="14" borderId="9" xfId="2" applyBorder="1"/>
  </cellXfs>
  <cellStyles count="5">
    <cellStyle name="Accent6" xfId="1" builtinId="49"/>
    <cellStyle name="Calculation" xfId="2" builtinId="22"/>
    <cellStyle name="Check Cell" xfId="4" builtinId="23"/>
    <cellStyle name="Linked Cell" xfId="3" builtinId="2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00"/>
  <sheetViews>
    <sheetView zoomScale="93" workbookViewId="0">
      <selection activeCell="C26" sqref="C26"/>
    </sheetView>
  </sheetViews>
  <sheetFormatPr defaultColWidth="14.42578125" defaultRowHeight="15" customHeight="1" x14ac:dyDescent="0.25"/>
  <cols>
    <col min="1" max="1" width="45.42578125" bestFit="1" customWidth="1"/>
    <col min="2" max="7" width="8.7109375" customWidth="1"/>
    <col min="8" max="8" width="13.140625" bestFit="1" customWidth="1"/>
    <col min="9" max="10" width="8.7109375" customWidth="1"/>
    <col min="11" max="11" width="12.7109375" customWidth="1"/>
    <col min="12" max="26" width="8.7109375" customWidth="1"/>
  </cols>
  <sheetData>
    <row r="1" spans="1:18" ht="26.25" x14ac:dyDescent="0.4">
      <c r="G1" s="1" t="s">
        <v>0</v>
      </c>
    </row>
    <row r="2" spans="1:18" ht="26.25" x14ac:dyDescent="0.4">
      <c r="G2" s="1" t="s">
        <v>1</v>
      </c>
    </row>
    <row r="4" spans="1:18" ht="18.75" x14ac:dyDescent="0.3">
      <c r="A4" s="2" t="s">
        <v>44</v>
      </c>
    </row>
    <row r="5" spans="1:18" ht="18.75" x14ac:dyDescent="0.3">
      <c r="A5" s="2" t="s">
        <v>45</v>
      </c>
    </row>
    <row r="6" spans="1:18" ht="18.75" x14ac:dyDescent="0.3">
      <c r="A6" s="2" t="s">
        <v>46</v>
      </c>
    </row>
    <row r="8" spans="1:18" ht="15.75" x14ac:dyDescent="0.25">
      <c r="A8" s="3" t="s">
        <v>2</v>
      </c>
    </row>
    <row r="9" spans="1:18" x14ac:dyDescent="0.25">
      <c r="D9" s="4" t="s">
        <v>3</v>
      </c>
      <c r="H9" s="5" t="s">
        <v>4</v>
      </c>
    </row>
    <row r="10" spans="1:18" x14ac:dyDescent="0.25">
      <c r="F10" s="6"/>
      <c r="G10" s="6" t="s">
        <v>5</v>
      </c>
      <c r="H10" s="6" t="s">
        <v>6</v>
      </c>
      <c r="I10" s="6" t="s">
        <v>7</v>
      </c>
      <c r="J10" s="6" t="s">
        <v>8</v>
      </c>
      <c r="K10" s="7" t="s">
        <v>9</v>
      </c>
    </row>
    <row r="11" spans="1:18" x14ac:dyDescent="0.25">
      <c r="F11" s="6" t="s">
        <v>10</v>
      </c>
      <c r="G11" s="8">
        <v>10</v>
      </c>
      <c r="H11" s="8">
        <v>7</v>
      </c>
      <c r="I11" s="8">
        <v>3</v>
      </c>
      <c r="J11" s="8">
        <v>6</v>
      </c>
      <c r="K11" s="7">
        <v>3</v>
      </c>
      <c r="N11" s="14" t="s">
        <v>38</v>
      </c>
    </row>
    <row r="12" spans="1:18" ht="16.5" thickTop="1" thickBot="1" x14ac:dyDescent="0.3">
      <c r="E12" s="5" t="s">
        <v>11</v>
      </c>
      <c r="F12" s="6" t="s">
        <v>12</v>
      </c>
      <c r="G12" s="8">
        <v>1</v>
      </c>
      <c r="H12" s="8">
        <v>6</v>
      </c>
      <c r="I12" s="8">
        <v>8</v>
      </c>
      <c r="J12" s="8">
        <v>3</v>
      </c>
      <c r="K12" s="7">
        <v>5</v>
      </c>
      <c r="N12" s="14" t="s">
        <v>9</v>
      </c>
      <c r="O12" s="9">
        <f>SUM(K11:K13)</f>
        <v>15</v>
      </c>
    </row>
    <row r="13" spans="1:18" ht="16.5" thickTop="1" thickBot="1" x14ac:dyDescent="0.3">
      <c r="F13" s="6" t="s">
        <v>13</v>
      </c>
      <c r="G13" s="8">
        <v>7</v>
      </c>
      <c r="H13" s="8">
        <v>4</v>
      </c>
      <c r="I13" s="8">
        <v>5</v>
      </c>
      <c r="J13" s="8">
        <v>3</v>
      </c>
      <c r="K13" s="7">
        <v>7</v>
      </c>
      <c r="N13" s="14" t="s">
        <v>14</v>
      </c>
      <c r="O13" s="9">
        <f>SUM(G14:J14)</f>
        <v>15</v>
      </c>
    </row>
    <row r="14" spans="1:18" ht="16.5" thickTop="1" thickBot="1" x14ac:dyDescent="0.3">
      <c r="F14" s="7" t="s">
        <v>14</v>
      </c>
      <c r="G14" s="7">
        <v>3</v>
      </c>
      <c r="H14" s="7">
        <v>2</v>
      </c>
      <c r="I14" s="7">
        <v>6</v>
      </c>
      <c r="J14" s="7">
        <v>4</v>
      </c>
    </row>
    <row r="15" spans="1:18" x14ac:dyDescent="0.25">
      <c r="N15" s="9"/>
      <c r="O15" s="9"/>
    </row>
    <row r="16" spans="1:18" ht="15.75" thickBot="1" x14ac:dyDescent="0.3"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6"/>
      <c r="O16" s="15"/>
      <c r="P16" s="15"/>
      <c r="Q16" s="15"/>
      <c r="R16" s="15"/>
    </row>
    <row r="17" spans="3:18" ht="16.5" thickTop="1" thickBot="1" x14ac:dyDescent="0.3">
      <c r="C17" s="15"/>
      <c r="D17" s="28" t="s">
        <v>42</v>
      </c>
      <c r="E17" s="28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</row>
    <row r="18" spans="3:18" ht="15" customHeight="1" thickTop="1" x14ac:dyDescent="0.25"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</row>
    <row r="19" spans="3:18" x14ac:dyDescent="0.25">
      <c r="C19" s="15"/>
      <c r="D19" s="15"/>
      <c r="E19" s="15"/>
      <c r="F19" s="15"/>
      <c r="G19" s="15"/>
      <c r="H19" s="17"/>
      <c r="I19" s="15"/>
      <c r="J19" s="15"/>
      <c r="K19" s="15"/>
      <c r="L19" s="22"/>
      <c r="M19" s="22"/>
      <c r="N19" s="15"/>
      <c r="O19" s="15"/>
      <c r="P19" s="15"/>
      <c r="Q19" s="15"/>
      <c r="R19" s="15"/>
    </row>
    <row r="20" spans="3:18" x14ac:dyDescent="0.25">
      <c r="C20" s="15"/>
      <c r="D20" s="15"/>
      <c r="H20" s="5" t="s">
        <v>4</v>
      </c>
      <c r="M20" s="22"/>
      <c r="O20" s="15"/>
      <c r="P20" s="15"/>
      <c r="Q20" s="15"/>
      <c r="R20" s="15"/>
    </row>
    <row r="21" spans="3:18" ht="15.75" customHeight="1" thickBot="1" x14ac:dyDescent="0.3">
      <c r="C21" s="15"/>
      <c r="D21" s="15"/>
      <c r="F21" s="6"/>
      <c r="G21" s="6" t="s">
        <v>5</v>
      </c>
      <c r="H21" s="6" t="s">
        <v>6</v>
      </c>
      <c r="I21" s="6" t="s">
        <v>7</v>
      </c>
      <c r="J21" s="6" t="s">
        <v>8</v>
      </c>
      <c r="K21" s="25" t="s">
        <v>40</v>
      </c>
      <c r="L21" s="27" t="s">
        <v>41</v>
      </c>
      <c r="M21" s="18"/>
      <c r="N21" s="7" t="s">
        <v>9</v>
      </c>
      <c r="O21" s="15"/>
      <c r="P21" s="15"/>
      <c r="Q21" s="15"/>
      <c r="R21" s="15"/>
    </row>
    <row r="22" spans="3:18" ht="15.75" customHeight="1" thickTop="1" thickBot="1" x14ac:dyDescent="0.3">
      <c r="C22" s="15"/>
      <c r="D22" s="15"/>
      <c r="F22" s="6" t="s">
        <v>10</v>
      </c>
      <c r="G22" s="8">
        <v>0</v>
      </c>
      <c r="H22" s="8">
        <v>0</v>
      </c>
      <c r="I22" s="8">
        <v>3</v>
      </c>
      <c r="J22" s="8">
        <v>0</v>
      </c>
      <c r="K22">
        <f>SUM(G22:J22)</f>
        <v>3</v>
      </c>
      <c r="L22" s="27" t="s">
        <v>41</v>
      </c>
      <c r="M22" s="18"/>
      <c r="N22" s="7">
        <v>3</v>
      </c>
      <c r="O22" s="15"/>
      <c r="P22" s="15"/>
      <c r="Q22" s="15"/>
      <c r="R22" s="15"/>
    </row>
    <row r="23" spans="3:18" ht="15.75" customHeight="1" thickTop="1" thickBot="1" x14ac:dyDescent="0.3">
      <c r="C23" s="15"/>
      <c r="D23" s="15"/>
      <c r="E23" s="5" t="s">
        <v>11</v>
      </c>
      <c r="F23" s="6" t="s">
        <v>12</v>
      </c>
      <c r="G23" s="8">
        <v>3</v>
      </c>
      <c r="H23" s="8">
        <v>0</v>
      </c>
      <c r="I23" s="8">
        <v>0</v>
      </c>
      <c r="J23" s="8">
        <v>2</v>
      </c>
      <c r="K23">
        <f t="shared" ref="K23:K24" si="0">SUM(G23:J23)</f>
        <v>5</v>
      </c>
      <c r="L23" s="27" t="s">
        <v>41</v>
      </c>
      <c r="M23" s="18"/>
      <c r="N23" s="7">
        <v>5</v>
      </c>
      <c r="O23" s="15"/>
      <c r="P23" s="15"/>
      <c r="Q23" s="15"/>
      <c r="R23" s="15"/>
    </row>
    <row r="24" spans="3:18" ht="15.75" customHeight="1" thickTop="1" thickBot="1" x14ac:dyDescent="0.3">
      <c r="C24" s="15"/>
      <c r="D24" s="15"/>
      <c r="F24" s="6" t="s">
        <v>13</v>
      </c>
      <c r="G24" s="8">
        <v>0</v>
      </c>
      <c r="H24" s="8">
        <v>2</v>
      </c>
      <c r="I24" s="8">
        <v>3</v>
      </c>
      <c r="J24" s="8">
        <v>2</v>
      </c>
      <c r="K24">
        <f t="shared" si="0"/>
        <v>7</v>
      </c>
      <c r="L24" s="27" t="s">
        <v>41</v>
      </c>
      <c r="M24" s="18"/>
      <c r="N24" s="7">
        <v>7</v>
      </c>
      <c r="O24" s="15"/>
      <c r="P24" s="15"/>
      <c r="Q24" s="15"/>
      <c r="R24" s="15"/>
    </row>
    <row r="25" spans="3:18" ht="15.75" customHeight="1" thickTop="1" x14ac:dyDescent="0.25">
      <c r="C25" s="15"/>
      <c r="D25" s="15"/>
      <c r="F25" s="6" t="s">
        <v>40</v>
      </c>
      <c r="G25">
        <f>SUM(G22:G24)</f>
        <v>3</v>
      </c>
      <c r="H25">
        <f t="shared" ref="H25:J25" si="1">SUM(H22:H24)</f>
        <v>2</v>
      </c>
      <c r="I25">
        <f t="shared" si="1"/>
        <v>6</v>
      </c>
      <c r="J25">
        <f t="shared" si="1"/>
        <v>4</v>
      </c>
      <c r="L25" s="22"/>
      <c r="M25" s="24"/>
      <c r="O25" s="15"/>
      <c r="P25" s="15"/>
      <c r="Q25" s="15"/>
      <c r="R25" s="15"/>
    </row>
    <row r="26" spans="3:18" ht="15.75" customHeight="1" x14ac:dyDescent="0.25">
      <c r="C26" s="15"/>
      <c r="D26" s="15"/>
      <c r="E26" s="15"/>
      <c r="F26" s="19"/>
      <c r="G26" s="19"/>
      <c r="H26" s="19"/>
      <c r="I26" s="19"/>
      <c r="J26" s="19"/>
      <c r="K26" s="29" t="s">
        <v>43</v>
      </c>
      <c r="L26" s="29">
        <f>SUMPRODUCT(G11:J13,G22:J24)</f>
        <v>47</v>
      </c>
      <c r="M26" s="22"/>
      <c r="N26" s="15"/>
      <c r="O26" s="15"/>
      <c r="P26" s="15"/>
      <c r="Q26" s="15"/>
      <c r="R26" s="15"/>
    </row>
    <row r="27" spans="3:18" ht="15.75" customHeight="1" x14ac:dyDescent="0.25">
      <c r="C27" s="15"/>
      <c r="D27" s="15"/>
      <c r="E27" s="15"/>
      <c r="F27" s="15"/>
      <c r="G27" s="27" t="s">
        <v>41</v>
      </c>
      <c r="H27" s="27" t="s">
        <v>41</v>
      </c>
      <c r="I27" s="27" t="s">
        <v>41</v>
      </c>
      <c r="J27" s="27" t="s">
        <v>41</v>
      </c>
      <c r="K27" s="15"/>
      <c r="L27" s="22"/>
      <c r="M27" s="22"/>
      <c r="N27" s="15"/>
      <c r="O27" s="15"/>
      <c r="P27" s="15"/>
      <c r="Q27" s="15"/>
      <c r="R27" s="15"/>
    </row>
    <row r="28" spans="3:18" ht="15.75" customHeight="1" thickBot="1" x14ac:dyDescent="0.3">
      <c r="C28" s="15"/>
      <c r="D28" s="15"/>
      <c r="E28" s="15"/>
      <c r="F28" s="7" t="s">
        <v>14</v>
      </c>
      <c r="G28" s="7">
        <v>3</v>
      </c>
      <c r="H28" s="7">
        <v>2</v>
      </c>
      <c r="I28" s="7">
        <v>6</v>
      </c>
      <c r="J28" s="7">
        <v>4</v>
      </c>
      <c r="L28" s="15"/>
      <c r="M28" s="15"/>
      <c r="N28" s="15"/>
      <c r="O28" s="15"/>
      <c r="P28" s="15"/>
      <c r="Q28" s="15"/>
      <c r="R28" s="15"/>
    </row>
    <row r="29" spans="3:18" ht="15.75" customHeight="1" thickTop="1" x14ac:dyDescent="0.25"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</row>
    <row r="30" spans="3:18" ht="15.75" customHeight="1" x14ac:dyDescent="0.25"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</row>
    <row r="31" spans="3:18" ht="15.75" customHeight="1" x14ac:dyDescent="0.25"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</row>
    <row r="32" spans="3:18" ht="15.75" customHeight="1" x14ac:dyDescent="0.25"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D17:E17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03"/>
  <sheetViews>
    <sheetView zoomScaleNormal="100" workbookViewId="0">
      <selection activeCell="A15" sqref="A15"/>
    </sheetView>
  </sheetViews>
  <sheetFormatPr defaultColWidth="14.42578125" defaultRowHeight="15" customHeight="1" x14ac:dyDescent="0.25"/>
  <cols>
    <col min="1" max="1" width="45.42578125" bestFit="1" customWidth="1"/>
    <col min="2" max="7" width="8.7109375" customWidth="1"/>
    <col min="8" max="8" width="13.140625" bestFit="1" customWidth="1"/>
    <col min="9" max="10" width="8.7109375" customWidth="1"/>
    <col min="11" max="11" width="11.28515625" customWidth="1"/>
    <col min="12" max="26" width="8.7109375" customWidth="1"/>
  </cols>
  <sheetData>
    <row r="1" spans="1:21" ht="26.25" x14ac:dyDescent="0.4">
      <c r="G1" s="1" t="s">
        <v>0</v>
      </c>
    </row>
    <row r="2" spans="1:21" ht="26.25" x14ac:dyDescent="0.4">
      <c r="G2" s="1" t="s">
        <v>1</v>
      </c>
    </row>
    <row r="4" spans="1:21" ht="18.75" x14ac:dyDescent="0.3">
      <c r="A4" s="2" t="s">
        <v>44</v>
      </c>
    </row>
    <row r="5" spans="1:21" ht="18.75" x14ac:dyDescent="0.3">
      <c r="A5" s="2" t="s">
        <v>45</v>
      </c>
    </row>
    <row r="6" spans="1:21" ht="18.75" x14ac:dyDescent="0.3">
      <c r="A6" s="2" t="s">
        <v>46</v>
      </c>
    </row>
    <row r="8" spans="1:21" ht="15.75" x14ac:dyDescent="0.25">
      <c r="A8" s="3" t="s">
        <v>15</v>
      </c>
    </row>
    <row r="9" spans="1:21" x14ac:dyDescent="0.25">
      <c r="D9" s="4" t="s">
        <v>3</v>
      </c>
      <c r="H9" s="5" t="s">
        <v>4</v>
      </c>
    </row>
    <row r="10" spans="1:21" x14ac:dyDescent="0.25">
      <c r="F10" s="6"/>
      <c r="G10" s="6" t="s">
        <v>5</v>
      </c>
      <c r="H10" s="6" t="s">
        <v>6</v>
      </c>
      <c r="I10" s="6" t="s">
        <v>7</v>
      </c>
      <c r="J10" s="6" t="s">
        <v>8</v>
      </c>
      <c r="K10" s="7" t="s">
        <v>9</v>
      </c>
    </row>
    <row r="11" spans="1:21" ht="16.5" thickTop="1" thickBot="1" x14ac:dyDescent="0.3">
      <c r="F11" s="6" t="s">
        <v>10</v>
      </c>
      <c r="G11" s="8">
        <v>1</v>
      </c>
      <c r="H11" s="8">
        <v>2</v>
      </c>
      <c r="I11" s="8">
        <v>1</v>
      </c>
      <c r="J11" s="8">
        <v>4</v>
      </c>
      <c r="K11" s="7">
        <v>20</v>
      </c>
      <c r="N11" s="14" t="s">
        <v>39</v>
      </c>
    </row>
    <row r="12" spans="1:21" ht="16.5" thickTop="1" thickBot="1" x14ac:dyDescent="0.3">
      <c r="E12" s="5" t="s">
        <v>11</v>
      </c>
      <c r="F12" s="6" t="s">
        <v>12</v>
      </c>
      <c r="G12" s="8">
        <v>3</v>
      </c>
      <c r="H12" s="8">
        <v>3</v>
      </c>
      <c r="I12" s="8">
        <v>2</v>
      </c>
      <c r="J12" s="8">
        <v>1</v>
      </c>
      <c r="K12" s="7">
        <v>50</v>
      </c>
      <c r="N12" s="14" t="s">
        <v>9</v>
      </c>
      <c r="O12" s="9">
        <f>SUM(K11:K14)</f>
        <v>100</v>
      </c>
    </row>
    <row r="13" spans="1:21" ht="16.5" thickTop="1" thickBot="1" x14ac:dyDescent="0.3">
      <c r="F13" s="6" t="s">
        <v>13</v>
      </c>
      <c r="G13" s="8">
        <v>4</v>
      </c>
      <c r="H13" s="8">
        <v>2</v>
      </c>
      <c r="I13" s="8">
        <v>5</v>
      </c>
      <c r="J13" s="8">
        <v>9</v>
      </c>
      <c r="K13" s="7">
        <v>20</v>
      </c>
      <c r="N13" s="14" t="s">
        <v>14</v>
      </c>
      <c r="O13" s="9">
        <f>SUM(G15:J15)</f>
        <v>100</v>
      </c>
    </row>
    <row r="14" spans="1:21" ht="15.75" thickTop="1" x14ac:dyDescent="0.25">
      <c r="F14" s="6" t="s">
        <v>19</v>
      </c>
      <c r="G14" s="12">
        <v>0</v>
      </c>
      <c r="H14" s="12">
        <v>0</v>
      </c>
      <c r="I14" s="12">
        <v>0</v>
      </c>
      <c r="J14" s="12">
        <v>0</v>
      </c>
      <c r="K14" s="13">
        <v>10</v>
      </c>
    </row>
    <row r="15" spans="1:21" ht="15.75" thickBot="1" x14ac:dyDescent="0.3">
      <c r="F15" s="7" t="s">
        <v>14</v>
      </c>
      <c r="G15" s="7">
        <v>20</v>
      </c>
      <c r="H15" s="7">
        <v>40</v>
      </c>
      <c r="I15" s="7">
        <v>30</v>
      </c>
      <c r="J15" s="7">
        <v>10</v>
      </c>
    </row>
    <row r="16" spans="1:21" ht="16.5" thickTop="1" thickBot="1" x14ac:dyDescent="0.3"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6"/>
      <c r="O16" s="15"/>
      <c r="P16" s="15"/>
      <c r="Q16" s="15"/>
      <c r="R16" s="15"/>
      <c r="S16" s="15"/>
      <c r="T16" s="15"/>
      <c r="U16" s="15"/>
    </row>
    <row r="17" spans="3:21" ht="16.5" thickTop="1" thickBot="1" x14ac:dyDescent="0.3">
      <c r="D17" s="28" t="s">
        <v>42</v>
      </c>
      <c r="E17" s="28"/>
      <c r="F17" s="15"/>
      <c r="G17" s="15"/>
      <c r="H17" s="15"/>
      <c r="I17" s="15"/>
      <c r="J17" s="15"/>
      <c r="K17" s="15"/>
      <c r="L17" s="15"/>
      <c r="M17" s="15"/>
      <c r="N17" s="15"/>
      <c r="O17" s="32"/>
      <c r="P17" s="32"/>
      <c r="Q17" s="15"/>
      <c r="R17" s="15"/>
      <c r="S17" s="15"/>
      <c r="T17" s="15"/>
      <c r="U17" s="15"/>
    </row>
    <row r="18" spans="3:21" ht="15.75" thickTop="1" x14ac:dyDescent="0.25"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</row>
    <row r="19" spans="3:21" ht="15" customHeight="1" x14ac:dyDescent="0.25">
      <c r="D19" s="15"/>
      <c r="E19" s="15"/>
      <c r="F19" s="15"/>
      <c r="G19" s="15"/>
      <c r="H19" s="17"/>
      <c r="I19" s="15"/>
      <c r="J19" s="15"/>
      <c r="K19" s="15"/>
      <c r="L19" s="22"/>
      <c r="M19" s="22"/>
      <c r="N19" s="15"/>
      <c r="O19" s="15"/>
      <c r="P19" s="15"/>
      <c r="Q19" s="15"/>
      <c r="R19" s="15"/>
      <c r="S19" s="15"/>
      <c r="T19" s="15"/>
      <c r="U19" s="15"/>
    </row>
    <row r="20" spans="3:21" x14ac:dyDescent="0.25">
      <c r="D20" s="15"/>
      <c r="H20" s="5" t="s">
        <v>4</v>
      </c>
      <c r="M20" s="22"/>
      <c r="O20" s="15"/>
      <c r="P20" s="22"/>
      <c r="Q20" s="22"/>
      <c r="R20" s="15"/>
      <c r="S20" s="15"/>
      <c r="T20" s="15"/>
      <c r="U20" s="15"/>
    </row>
    <row r="21" spans="3:21" ht="15.75" thickBot="1" x14ac:dyDescent="0.3">
      <c r="D21" s="15"/>
      <c r="F21" s="6"/>
      <c r="G21" s="6" t="s">
        <v>5</v>
      </c>
      <c r="H21" s="6" t="s">
        <v>6</v>
      </c>
      <c r="I21" s="6" t="s">
        <v>7</v>
      </c>
      <c r="J21" s="6" t="s">
        <v>8</v>
      </c>
      <c r="K21" s="25" t="s">
        <v>40</v>
      </c>
      <c r="L21" s="27" t="s">
        <v>41</v>
      </c>
      <c r="M21" s="18"/>
      <c r="N21" s="7" t="s">
        <v>9</v>
      </c>
      <c r="O21" s="15"/>
      <c r="P21" s="22"/>
      <c r="Q21" s="18"/>
      <c r="R21" s="15"/>
      <c r="S21" s="15"/>
      <c r="T21" s="15"/>
      <c r="U21" s="15"/>
    </row>
    <row r="22" spans="3:21" ht="15.75" customHeight="1" thickTop="1" thickBot="1" x14ac:dyDescent="0.3">
      <c r="D22" s="15"/>
      <c r="F22" s="6" t="s">
        <v>10</v>
      </c>
      <c r="G22" s="8">
        <v>20</v>
      </c>
      <c r="H22" s="8">
        <v>0</v>
      </c>
      <c r="I22" s="8">
        <v>0</v>
      </c>
      <c r="J22" s="8">
        <v>0</v>
      </c>
      <c r="K22">
        <f>SUM(G22:J22)</f>
        <v>20</v>
      </c>
      <c r="L22" s="27" t="s">
        <v>41</v>
      </c>
      <c r="M22" s="18"/>
      <c r="N22" s="7">
        <v>20</v>
      </c>
      <c r="O22" s="15"/>
      <c r="P22" s="22"/>
      <c r="Q22" s="18"/>
      <c r="R22" s="15"/>
      <c r="S22" s="15"/>
      <c r="T22" s="15"/>
      <c r="U22" s="15"/>
    </row>
    <row r="23" spans="3:21" ht="15.75" customHeight="1" thickTop="1" thickBot="1" x14ac:dyDescent="0.3">
      <c r="D23" s="15"/>
      <c r="E23" s="5" t="s">
        <v>11</v>
      </c>
      <c r="F23" s="6" t="s">
        <v>12</v>
      </c>
      <c r="G23" s="8">
        <v>0</v>
      </c>
      <c r="H23" s="8">
        <v>10</v>
      </c>
      <c r="I23" s="8">
        <v>30</v>
      </c>
      <c r="J23" s="8">
        <v>10</v>
      </c>
      <c r="K23">
        <f t="shared" ref="K23:K25" si="0">SUM(G23:J23)</f>
        <v>50</v>
      </c>
      <c r="L23" s="27" t="s">
        <v>41</v>
      </c>
      <c r="M23" s="18"/>
      <c r="N23" s="7">
        <v>50</v>
      </c>
      <c r="O23" s="15"/>
      <c r="P23" s="23"/>
      <c r="Q23" s="18"/>
      <c r="R23" s="15"/>
      <c r="S23" s="15"/>
      <c r="T23" s="15"/>
      <c r="U23" s="15"/>
    </row>
    <row r="24" spans="3:21" ht="15.75" customHeight="1" thickTop="1" thickBot="1" x14ac:dyDescent="0.3">
      <c r="D24" s="15"/>
      <c r="F24" s="6" t="s">
        <v>13</v>
      </c>
      <c r="G24" s="8">
        <v>0</v>
      </c>
      <c r="H24" s="8">
        <v>20</v>
      </c>
      <c r="I24" s="8">
        <v>0</v>
      </c>
      <c r="J24" s="8">
        <v>0</v>
      </c>
      <c r="K24">
        <f t="shared" si="0"/>
        <v>20</v>
      </c>
      <c r="L24" s="27" t="s">
        <v>41</v>
      </c>
      <c r="M24" s="18"/>
      <c r="N24" s="7">
        <v>20</v>
      </c>
      <c r="O24" s="15"/>
      <c r="P24" s="22"/>
      <c r="Q24" s="18"/>
      <c r="R24" s="15"/>
      <c r="S24" s="15"/>
      <c r="T24" s="15"/>
      <c r="U24" s="15"/>
    </row>
    <row r="25" spans="3:21" ht="15.75" customHeight="1" thickTop="1" x14ac:dyDescent="0.25">
      <c r="D25" s="15"/>
      <c r="F25" s="6" t="s">
        <v>19</v>
      </c>
      <c r="G25" s="8">
        <v>0</v>
      </c>
      <c r="H25" s="8">
        <v>10</v>
      </c>
      <c r="I25" s="8">
        <v>0</v>
      </c>
      <c r="J25" s="8">
        <v>0</v>
      </c>
      <c r="K25">
        <f t="shared" si="0"/>
        <v>10</v>
      </c>
      <c r="L25" s="27" t="s">
        <v>41</v>
      </c>
      <c r="M25" s="24"/>
      <c r="N25" s="13">
        <v>10</v>
      </c>
      <c r="O25" s="15"/>
      <c r="P25" s="22"/>
      <c r="Q25" s="18"/>
      <c r="R25" s="15"/>
      <c r="S25" s="15"/>
      <c r="T25" s="15"/>
      <c r="U25" s="15"/>
    </row>
    <row r="26" spans="3:21" ht="15.75" customHeight="1" x14ac:dyDescent="0.25">
      <c r="D26" s="15"/>
      <c r="F26" s="6" t="s">
        <v>40</v>
      </c>
      <c r="G26">
        <f>SUM(G22:G25)</f>
        <v>20</v>
      </c>
      <c r="H26">
        <f t="shared" ref="H26:J26" si="1">SUM(H22:H25)</f>
        <v>40</v>
      </c>
      <c r="I26">
        <f t="shared" si="1"/>
        <v>30</v>
      </c>
      <c r="J26">
        <f t="shared" si="1"/>
        <v>10</v>
      </c>
      <c r="L26" s="26"/>
      <c r="M26" s="24"/>
      <c r="O26" s="15"/>
      <c r="P26" s="22"/>
      <c r="Q26" s="18"/>
      <c r="R26" s="15"/>
      <c r="S26" s="15"/>
      <c r="T26" s="15"/>
      <c r="U26" s="15"/>
    </row>
    <row r="27" spans="3:21" ht="15.75" customHeight="1" x14ac:dyDescent="0.25">
      <c r="D27" s="15"/>
      <c r="E27" s="15"/>
      <c r="F27" s="19"/>
      <c r="G27" s="19"/>
      <c r="H27" s="19"/>
      <c r="I27" s="19"/>
      <c r="J27" s="19"/>
      <c r="K27" s="29" t="s">
        <v>43</v>
      </c>
      <c r="L27" s="29">
        <f>SUMPRODUCT(G11:J13,G22:J24)</f>
        <v>160</v>
      </c>
      <c r="M27" s="22"/>
      <c r="N27" s="15"/>
      <c r="O27" s="15"/>
      <c r="P27" s="22"/>
      <c r="Q27" s="19"/>
      <c r="R27" s="15"/>
      <c r="S27" s="15"/>
      <c r="T27" s="15"/>
      <c r="U27" s="15"/>
    </row>
    <row r="28" spans="3:21" ht="15.75" customHeight="1" x14ac:dyDescent="0.25">
      <c r="D28" s="15"/>
      <c r="E28" s="15"/>
      <c r="F28" s="15"/>
      <c r="G28" s="27" t="s">
        <v>41</v>
      </c>
      <c r="H28" s="27" t="s">
        <v>41</v>
      </c>
      <c r="I28" s="27" t="s">
        <v>41</v>
      </c>
      <c r="J28" s="27" t="s">
        <v>41</v>
      </c>
      <c r="K28" s="15"/>
      <c r="L28" s="22"/>
      <c r="M28" s="22"/>
      <c r="N28" s="15"/>
      <c r="O28" s="15"/>
      <c r="P28" s="22"/>
      <c r="Q28" s="22"/>
      <c r="R28" s="15"/>
      <c r="S28" s="15"/>
      <c r="T28" s="15"/>
      <c r="U28" s="15"/>
    </row>
    <row r="29" spans="3:21" ht="15.75" customHeight="1" thickBot="1" x14ac:dyDescent="0.3">
      <c r="D29" s="15"/>
      <c r="E29" s="15"/>
      <c r="F29" s="7" t="s">
        <v>14</v>
      </c>
      <c r="G29" s="7">
        <v>20</v>
      </c>
      <c r="H29" s="7">
        <v>40</v>
      </c>
      <c r="I29" s="7">
        <v>30</v>
      </c>
      <c r="J29" s="7">
        <v>10</v>
      </c>
      <c r="L29" s="15"/>
      <c r="M29" s="15"/>
      <c r="N29" s="15"/>
      <c r="O29" s="15"/>
      <c r="P29" s="22"/>
      <c r="Q29" s="30"/>
      <c r="R29" s="15"/>
      <c r="S29" s="15"/>
      <c r="T29" s="15"/>
      <c r="U29" s="15"/>
    </row>
    <row r="30" spans="3:21" ht="15.75" customHeight="1" thickTop="1" x14ac:dyDescent="0.25"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22"/>
      <c r="Q30" s="22"/>
      <c r="R30" s="15"/>
      <c r="S30" s="15"/>
      <c r="T30" s="15"/>
      <c r="U30" s="15"/>
    </row>
    <row r="31" spans="3:21" ht="15.75" customHeight="1" x14ac:dyDescent="0.25"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15"/>
      <c r="S31" s="15"/>
      <c r="T31" s="15"/>
      <c r="U31" s="15"/>
    </row>
    <row r="32" spans="3:21" ht="15.75" customHeight="1" x14ac:dyDescent="0.25">
      <c r="C32" s="31"/>
      <c r="D32" s="32"/>
      <c r="E32" s="32"/>
      <c r="F32" s="31"/>
      <c r="G32" s="31"/>
      <c r="H32" s="31"/>
      <c r="I32" s="31"/>
      <c r="J32" s="31"/>
      <c r="K32" s="31"/>
      <c r="L32" s="31"/>
      <c r="M32" s="31"/>
      <c r="N32" s="31"/>
      <c r="O32" s="32"/>
      <c r="P32" s="32"/>
      <c r="Q32" s="31"/>
      <c r="R32" s="15"/>
      <c r="S32" s="15"/>
      <c r="T32" s="15"/>
      <c r="U32" s="15"/>
    </row>
    <row r="33" spans="3:21" ht="15.75" customHeight="1" x14ac:dyDescent="0.25"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15"/>
      <c r="S33" s="15"/>
      <c r="T33" s="15"/>
      <c r="U33" s="15"/>
    </row>
    <row r="34" spans="3:21" ht="15.75" customHeight="1" x14ac:dyDescent="0.25"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</row>
    <row r="35" spans="3:21" ht="15.75" customHeight="1" x14ac:dyDescent="0.25"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</row>
    <row r="36" spans="3:21" ht="15.75" customHeight="1" x14ac:dyDescent="0.25"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</row>
    <row r="37" spans="3:21" ht="15.75" customHeight="1" x14ac:dyDescent="0.25"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</row>
    <row r="38" spans="3:21" ht="15.75" customHeight="1" x14ac:dyDescent="0.25"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</row>
    <row r="39" spans="3:21" ht="15.75" customHeight="1" x14ac:dyDescent="0.25"/>
    <row r="40" spans="3:21" ht="15.75" customHeight="1" x14ac:dyDescent="0.25"/>
    <row r="41" spans="3:21" ht="15.75" customHeight="1" x14ac:dyDescent="0.25"/>
    <row r="42" spans="3:21" ht="15.75" customHeight="1" x14ac:dyDescent="0.25"/>
    <row r="43" spans="3:21" ht="15.75" customHeight="1" x14ac:dyDescent="0.25"/>
    <row r="44" spans="3:21" ht="15.75" customHeight="1" x14ac:dyDescent="0.25"/>
    <row r="45" spans="3:21" ht="15.75" customHeight="1" x14ac:dyDescent="0.25"/>
    <row r="46" spans="3:21" ht="15.75" customHeight="1" x14ac:dyDescent="0.25"/>
    <row r="47" spans="3:21" ht="15.75" customHeight="1" x14ac:dyDescent="0.25"/>
    <row r="48" spans="3:21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</sheetData>
  <mergeCells count="4">
    <mergeCell ref="D17:E17"/>
    <mergeCell ref="O17:P17"/>
    <mergeCell ref="D32:E32"/>
    <mergeCell ref="O32:P32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00"/>
  <sheetViews>
    <sheetView workbookViewId="0">
      <selection activeCell="T23" sqref="T23"/>
    </sheetView>
  </sheetViews>
  <sheetFormatPr defaultColWidth="14.42578125" defaultRowHeight="15" customHeight="1" x14ac:dyDescent="0.25"/>
  <cols>
    <col min="1" max="1" width="45.42578125" bestFit="1" customWidth="1"/>
    <col min="2" max="10" width="8.7109375" customWidth="1"/>
    <col min="11" max="11" width="11.28515625" customWidth="1"/>
    <col min="12" max="26" width="8.7109375" customWidth="1"/>
  </cols>
  <sheetData>
    <row r="1" spans="1:20" ht="26.25" x14ac:dyDescent="0.4">
      <c r="G1" s="1" t="s">
        <v>0</v>
      </c>
    </row>
    <row r="2" spans="1:20" ht="26.25" x14ac:dyDescent="0.4">
      <c r="G2" s="1" t="s">
        <v>1</v>
      </c>
    </row>
    <row r="4" spans="1:20" ht="18.75" x14ac:dyDescent="0.3">
      <c r="A4" s="2" t="s">
        <v>44</v>
      </c>
    </row>
    <row r="5" spans="1:20" ht="18.75" x14ac:dyDescent="0.3">
      <c r="A5" s="2" t="s">
        <v>45</v>
      </c>
    </row>
    <row r="6" spans="1:20" ht="18.75" x14ac:dyDescent="0.3">
      <c r="A6" s="2" t="s">
        <v>46</v>
      </c>
    </row>
    <row r="8" spans="1:20" ht="15.75" x14ac:dyDescent="0.25">
      <c r="A8" s="3" t="s">
        <v>16</v>
      </c>
    </row>
    <row r="9" spans="1:20" x14ac:dyDescent="0.25">
      <c r="D9" s="4" t="s">
        <v>3</v>
      </c>
      <c r="H9" s="5" t="s">
        <v>4</v>
      </c>
    </row>
    <row r="10" spans="1:20" x14ac:dyDescent="0.25">
      <c r="F10" s="6"/>
      <c r="G10" s="6" t="s">
        <v>5</v>
      </c>
      <c r="H10" s="6" t="s">
        <v>6</v>
      </c>
      <c r="I10" s="6" t="s">
        <v>7</v>
      </c>
      <c r="J10" s="6" t="s">
        <v>8</v>
      </c>
      <c r="K10" s="7" t="s">
        <v>9</v>
      </c>
    </row>
    <row r="11" spans="1:20" x14ac:dyDescent="0.25">
      <c r="F11" s="6" t="s">
        <v>10</v>
      </c>
      <c r="G11" s="8">
        <v>19</v>
      </c>
      <c r="H11" s="8">
        <v>30</v>
      </c>
      <c r="I11" s="8">
        <v>50</v>
      </c>
      <c r="J11" s="8">
        <v>10</v>
      </c>
      <c r="K11" s="7">
        <v>7</v>
      </c>
      <c r="N11" s="14" t="s">
        <v>39</v>
      </c>
    </row>
    <row r="12" spans="1:20" x14ac:dyDescent="0.25">
      <c r="E12" s="5" t="s">
        <v>11</v>
      </c>
      <c r="F12" s="6" t="s">
        <v>12</v>
      </c>
      <c r="G12" s="8">
        <v>70</v>
      </c>
      <c r="H12" s="8">
        <v>30</v>
      </c>
      <c r="I12" s="8">
        <v>40</v>
      </c>
      <c r="J12" s="8">
        <v>60</v>
      </c>
      <c r="K12" s="7">
        <v>9</v>
      </c>
      <c r="N12" s="14" t="s">
        <v>9</v>
      </c>
      <c r="O12" s="9">
        <f>SUM(K11:K13)</f>
        <v>34</v>
      </c>
    </row>
    <row r="13" spans="1:20" x14ac:dyDescent="0.25">
      <c r="F13" s="6" t="s">
        <v>13</v>
      </c>
      <c r="G13" s="8">
        <v>40</v>
      </c>
      <c r="H13" s="8">
        <v>8</v>
      </c>
      <c r="I13" s="8">
        <v>70</v>
      </c>
      <c r="J13" s="8">
        <v>20</v>
      </c>
      <c r="K13" s="7">
        <v>18</v>
      </c>
      <c r="N13" s="14" t="s">
        <v>14</v>
      </c>
      <c r="O13" s="9">
        <f>SUM(G14:J14)</f>
        <v>34</v>
      </c>
    </row>
    <row r="14" spans="1:20" x14ac:dyDescent="0.25">
      <c r="F14" s="7" t="s">
        <v>14</v>
      </c>
      <c r="G14" s="7">
        <v>5</v>
      </c>
      <c r="H14" s="7">
        <v>8</v>
      </c>
      <c r="I14" s="7">
        <v>7</v>
      </c>
      <c r="J14" s="7">
        <v>14</v>
      </c>
    </row>
    <row r="16" spans="1:20" ht="15" customHeight="1" thickBot="1" x14ac:dyDescent="0.3"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</row>
    <row r="17" spans="4:20" ht="16.5" thickTop="1" thickBot="1" x14ac:dyDescent="0.3">
      <c r="D17" s="28" t="s">
        <v>42</v>
      </c>
      <c r="E17" s="28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</row>
    <row r="18" spans="4:20" ht="15" customHeight="1" thickTop="1" x14ac:dyDescent="0.25"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</row>
    <row r="19" spans="4:20" x14ac:dyDescent="0.25">
      <c r="D19" s="15"/>
      <c r="E19" s="15"/>
      <c r="F19" s="15"/>
      <c r="G19" s="15"/>
      <c r="H19" s="17"/>
      <c r="I19" s="15"/>
      <c r="J19" s="15"/>
      <c r="K19" s="15"/>
      <c r="L19" s="22"/>
      <c r="M19" s="22"/>
      <c r="N19" s="15"/>
      <c r="O19" s="15"/>
      <c r="P19" s="15"/>
      <c r="Q19" s="15"/>
      <c r="R19" s="15"/>
      <c r="S19" s="15"/>
      <c r="T19" s="15"/>
    </row>
    <row r="20" spans="4:20" x14ac:dyDescent="0.25">
      <c r="D20" s="15"/>
      <c r="H20" s="5" t="s">
        <v>4</v>
      </c>
      <c r="M20" s="22"/>
      <c r="O20" s="15"/>
      <c r="P20" s="15"/>
      <c r="Q20" s="15"/>
      <c r="R20" s="15"/>
      <c r="S20" s="15"/>
      <c r="T20" s="15"/>
    </row>
    <row r="21" spans="4:20" ht="15.75" customHeight="1" thickBot="1" x14ac:dyDescent="0.3">
      <c r="D21" s="15"/>
      <c r="F21" s="6"/>
      <c r="G21" s="6" t="s">
        <v>5</v>
      </c>
      <c r="H21" s="6" t="s">
        <v>6</v>
      </c>
      <c r="I21" s="6" t="s">
        <v>7</v>
      </c>
      <c r="J21" s="6" t="s">
        <v>8</v>
      </c>
      <c r="K21" s="25" t="s">
        <v>40</v>
      </c>
      <c r="L21" s="27" t="s">
        <v>41</v>
      </c>
      <c r="M21" s="18"/>
      <c r="N21" s="7" t="s">
        <v>9</v>
      </c>
      <c r="O21" s="15"/>
      <c r="P21" s="15"/>
      <c r="Q21" s="15"/>
      <c r="R21" s="15"/>
      <c r="S21" s="15"/>
      <c r="T21" s="15"/>
    </row>
    <row r="22" spans="4:20" ht="15.75" customHeight="1" thickTop="1" thickBot="1" x14ac:dyDescent="0.3">
      <c r="D22" s="15"/>
      <c r="F22" s="6" t="s">
        <v>10</v>
      </c>
      <c r="G22" s="8">
        <v>5</v>
      </c>
      <c r="H22" s="8">
        <v>0</v>
      </c>
      <c r="I22" s="8">
        <v>0</v>
      </c>
      <c r="J22" s="8">
        <v>2</v>
      </c>
      <c r="K22">
        <f>SUM(G22:J22)</f>
        <v>7</v>
      </c>
      <c r="L22" s="27" t="s">
        <v>41</v>
      </c>
      <c r="M22" s="18"/>
      <c r="N22" s="7">
        <v>7</v>
      </c>
      <c r="O22" s="15"/>
      <c r="P22" s="15"/>
      <c r="Q22" s="15"/>
      <c r="R22" s="15"/>
      <c r="S22" s="15"/>
      <c r="T22" s="15"/>
    </row>
    <row r="23" spans="4:20" ht="15.75" customHeight="1" thickTop="1" thickBot="1" x14ac:dyDescent="0.3">
      <c r="D23" s="15"/>
      <c r="E23" s="5" t="s">
        <v>11</v>
      </c>
      <c r="F23" s="6" t="s">
        <v>12</v>
      </c>
      <c r="G23" s="8">
        <v>0</v>
      </c>
      <c r="H23" s="8">
        <v>2</v>
      </c>
      <c r="I23" s="8">
        <v>7</v>
      </c>
      <c r="J23" s="8">
        <v>0</v>
      </c>
      <c r="K23">
        <f t="shared" ref="K23:K24" si="0">SUM(G23:J23)</f>
        <v>9</v>
      </c>
      <c r="L23" s="27" t="s">
        <v>41</v>
      </c>
      <c r="M23" s="18"/>
      <c r="N23" s="7">
        <v>9</v>
      </c>
      <c r="O23" s="15"/>
      <c r="P23" s="15"/>
      <c r="Q23" s="15"/>
      <c r="R23" s="15"/>
      <c r="S23" s="15"/>
      <c r="T23" s="15"/>
    </row>
    <row r="24" spans="4:20" ht="15.75" customHeight="1" thickTop="1" thickBot="1" x14ac:dyDescent="0.3">
      <c r="D24" s="15"/>
      <c r="F24" s="6" t="s">
        <v>13</v>
      </c>
      <c r="G24" s="8">
        <v>0</v>
      </c>
      <c r="H24" s="8">
        <v>6</v>
      </c>
      <c r="I24" s="8">
        <v>0</v>
      </c>
      <c r="J24" s="8">
        <v>12</v>
      </c>
      <c r="K24">
        <f t="shared" si="0"/>
        <v>18</v>
      </c>
      <c r="L24" s="27" t="s">
        <v>41</v>
      </c>
      <c r="M24" s="18"/>
      <c r="N24" s="7">
        <v>18</v>
      </c>
      <c r="O24" s="15"/>
      <c r="P24" s="15"/>
      <c r="Q24" s="15"/>
      <c r="R24" s="15"/>
      <c r="S24" s="15"/>
      <c r="T24" s="15"/>
    </row>
    <row r="25" spans="4:20" ht="15.75" customHeight="1" thickTop="1" x14ac:dyDescent="0.25">
      <c r="D25" s="15"/>
      <c r="F25" s="6" t="s">
        <v>40</v>
      </c>
      <c r="G25">
        <f>SUM(G22:G24)</f>
        <v>5</v>
      </c>
      <c r="H25">
        <f t="shared" ref="H25:J25" si="1">SUM(H22:H24)</f>
        <v>8</v>
      </c>
      <c r="I25">
        <f t="shared" si="1"/>
        <v>7</v>
      </c>
      <c r="J25">
        <f t="shared" si="1"/>
        <v>14</v>
      </c>
      <c r="L25" s="22"/>
      <c r="M25" s="24"/>
      <c r="O25" s="15"/>
      <c r="P25" s="15"/>
      <c r="Q25" s="15"/>
      <c r="R25" s="15"/>
      <c r="S25" s="15"/>
      <c r="T25" s="15"/>
    </row>
    <row r="26" spans="4:20" ht="15.75" customHeight="1" x14ac:dyDescent="0.25">
      <c r="D26" s="15"/>
      <c r="E26" s="15"/>
      <c r="F26" s="19"/>
      <c r="G26" s="19"/>
      <c r="H26" s="19"/>
      <c r="I26" s="19"/>
      <c r="J26" s="19"/>
      <c r="K26" s="29" t="s">
        <v>43</v>
      </c>
      <c r="L26" s="29">
        <f>SUMPRODUCT(G11:J13,G22:J24)</f>
        <v>743</v>
      </c>
      <c r="M26" s="22"/>
      <c r="N26" s="15"/>
      <c r="O26" s="15"/>
      <c r="P26" s="15"/>
      <c r="Q26" s="15"/>
      <c r="R26" s="15"/>
      <c r="S26" s="15"/>
      <c r="T26" s="15"/>
    </row>
    <row r="27" spans="4:20" ht="15.75" customHeight="1" x14ac:dyDescent="0.25">
      <c r="D27" s="15"/>
      <c r="E27" s="15"/>
      <c r="F27" s="15"/>
      <c r="G27" s="27" t="s">
        <v>41</v>
      </c>
      <c r="H27" s="27" t="s">
        <v>41</v>
      </c>
      <c r="I27" s="27" t="s">
        <v>41</v>
      </c>
      <c r="J27" s="27" t="s">
        <v>41</v>
      </c>
      <c r="K27" s="15"/>
      <c r="L27" s="22"/>
      <c r="M27" s="22"/>
      <c r="N27" s="15"/>
      <c r="O27" s="15"/>
      <c r="P27" s="15"/>
      <c r="Q27" s="15"/>
      <c r="R27" s="15"/>
      <c r="S27" s="15"/>
      <c r="T27" s="15"/>
    </row>
    <row r="28" spans="4:20" ht="15.75" customHeight="1" thickBot="1" x14ac:dyDescent="0.3">
      <c r="D28" s="15"/>
      <c r="E28" s="15"/>
      <c r="F28" s="7" t="s">
        <v>14</v>
      </c>
      <c r="G28" s="7">
        <v>5</v>
      </c>
      <c r="H28" s="7">
        <v>8</v>
      </c>
      <c r="I28" s="7">
        <v>7</v>
      </c>
      <c r="J28" s="7">
        <v>14</v>
      </c>
      <c r="L28" s="15"/>
      <c r="M28" s="15"/>
      <c r="N28" s="15"/>
      <c r="O28" s="15"/>
      <c r="P28" s="15"/>
      <c r="Q28" s="15"/>
      <c r="R28" s="15"/>
      <c r="S28" s="15"/>
      <c r="T28" s="15"/>
    </row>
    <row r="29" spans="4:20" ht="15.75" customHeight="1" thickTop="1" x14ac:dyDescent="0.25"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</row>
    <row r="30" spans="4:20" ht="15.75" customHeight="1" x14ac:dyDescent="0.25"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</row>
    <row r="31" spans="4:20" ht="15.75" customHeight="1" x14ac:dyDescent="0.25"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</row>
    <row r="32" spans="4:20" ht="15.75" customHeight="1" x14ac:dyDescent="0.25"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D17:E17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00"/>
  <sheetViews>
    <sheetView zoomScale="91" workbookViewId="0">
      <selection activeCell="A12" sqref="A12"/>
    </sheetView>
  </sheetViews>
  <sheetFormatPr defaultColWidth="14.42578125" defaultRowHeight="15" customHeight="1" x14ac:dyDescent="0.25"/>
  <cols>
    <col min="1" max="1" width="36" customWidth="1"/>
    <col min="2" max="10" width="8.7109375" customWidth="1"/>
    <col min="11" max="11" width="12.28515625" customWidth="1"/>
    <col min="12" max="26" width="8.7109375" customWidth="1"/>
  </cols>
  <sheetData>
    <row r="1" spans="1:21" ht="26.25" x14ac:dyDescent="0.4">
      <c r="G1" s="1" t="s">
        <v>0</v>
      </c>
    </row>
    <row r="2" spans="1:21" ht="26.25" x14ac:dyDescent="0.4">
      <c r="G2" s="1" t="s">
        <v>1</v>
      </c>
    </row>
    <row r="4" spans="1:21" ht="18.75" x14ac:dyDescent="0.3">
      <c r="A4" s="2" t="s">
        <v>44</v>
      </c>
    </row>
    <row r="5" spans="1:21" ht="18.75" x14ac:dyDescent="0.3">
      <c r="A5" s="2" t="s">
        <v>45</v>
      </c>
    </row>
    <row r="6" spans="1:21" ht="18.75" x14ac:dyDescent="0.3">
      <c r="A6" s="2" t="s">
        <v>46</v>
      </c>
    </row>
    <row r="8" spans="1:21" ht="15.75" x14ac:dyDescent="0.25">
      <c r="A8" s="3" t="s">
        <v>17</v>
      </c>
    </row>
    <row r="9" spans="1:21" x14ac:dyDescent="0.25">
      <c r="D9" s="4" t="s">
        <v>3</v>
      </c>
      <c r="H9" s="5" t="s">
        <v>4</v>
      </c>
    </row>
    <row r="10" spans="1:21" x14ac:dyDescent="0.25">
      <c r="F10" s="6"/>
      <c r="G10" s="6" t="s">
        <v>5</v>
      </c>
      <c r="H10" s="6" t="s">
        <v>6</v>
      </c>
      <c r="I10" s="6" t="s">
        <v>7</v>
      </c>
      <c r="J10" s="6" t="s">
        <v>8</v>
      </c>
      <c r="K10" s="7" t="s">
        <v>9</v>
      </c>
    </row>
    <row r="11" spans="1:21" x14ac:dyDescent="0.25">
      <c r="F11" s="6" t="s">
        <v>10</v>
      </c>
      <c r="G11" s="8">
        <v>40</v>
      </c>
      <c r="H11" s="8">
        <v>44</v>
      </c>
      <c r="I11" s="8">
        <v>48</v>
      </c>
      <c r="J11" s="8">
        <v>35</v>
      </c>
      <c r="K11" s="7">
        <v>160</v>
      </c>
      <c r="L11" s="11"/>
      <c r="M11" s="14" t="s">
        <v>39</v>
      </c>
    </row>
    <row r="12" spans="1:21" x14ac:dyDescent="0.25">
      <c r="E12" s="5" t="s">
        <v>11</v>
      </c>
      <c r="F12" s="6" t="s">
        <v>12</v>
      </c>
      <c r="G12" s="8">
        <v>37</v>
      </c>
      <c r="H12" s="8">
        <v>45</v>
      </c>
      <c r="I12" s="8">
        <v>50</v>
      </c>
      <c r="J12" s="8">
        <v>52</v>
      </c>
      <c r="K12" s="7">
        <v>150</v>
      </c>
      <c r="M12" s="14" t="s">
        <v>9</v>
      </c>
      <c r="N12" s="9">
        <f>SUM(K11:K13)</f>
        <v>500</v>
      </c>
    </row>
    <row r="13" spans="1:21" x14ac:dyDescent="0.25">
      <c r="F13" s="6" t="s">
        <v>13</v>
      </c>
      <c r="G13" s="8">
        <v>35</v>
      </c>
      <c r="H13" s="8">
        <v>40</v>
      </c>
      <c r="I13" s="8">
        <v>45</v>
      </c>
      <c r="J13" s="8">
        <v>50</v>
      </c>
      <c r="K13" s="7">
        <v>190</v>
      </c>
      <c r="M13" s="14" t="s">
        <v>14</v>
      </c>
      <c r="N13" s="9">
        <f>SUM(G14:J14)</f>
        <v>500</v>
      </c>
    </row>
    <row r="14" spans="1:21" x14ac:dyDescent="0.25">
      <c r="F14" s="7" t="s">
        <v>14</v>
      </c>
      <c r="G14" s="7">
        <v>80</v>
      </c>
      <c r="H14" s="7">
        <v>90</v>
      </c>
      <c r="I14" s="7">
        <v>110</v>
      </c>
      <c r="J14" s="7">
        <v>220</v>
      </c>
    </row>
    <row r="16" spans="1:21" ht="15" customHeight="1" thickBot="1" x14ac:dyDescent="0.3"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</row>
    <row r="17" spans="3:21" ht="16.5" thickTop="1" thickBot="1" x14ac:dyDescent="0.3">
      <c r="C17" s="15"/>
      <c r="D17" s="28" t="s">
        <v>42</v>
      </c>
      <c r="E17" s="28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</row>
    <row r="18" spans="3:21" ht="15" customHeight="1" thickTop="1" x14ac:dyDescent="0.25"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</row>
    <row r="19" spans="3:21" x14ac:dyDescent="0.25">
      <c r="C19" s="15"/>
      <c r="D19" s="15"/>
      <c r="E19" s="15"/>
      <c r="F19" s="15"/>
      <c r="G19" s="15"/>
      <c r="H19" s="17"/>
      <c r="I19" s="15"/>
      <c r="J19" s="15"/>
      <c r="K19" s="15"/>
      <c r="L19" s="22"/>
      <c r="M19" s="22"/>
      <c r="N19" s="15"/>
      <c r="O19" s="15"/>
      <c r="P19" s="15"/>
      <c r="Q19" s="15"/>
      <c r="R19" s="15"/>
      <c r="S19" s="15"/>
      <c r="T19" s="15"/>
      <c r="U19" s="15"/>
    </row>
    <row r="20" spans="3:21" x14ac:dyDescent="0.25">
      <c r="C20" s="15"/>
      <c r="D20" s="15"/>
      <c r="H20" s="5" t="s">
        <v>4</v>
      </c>
      <c r="M20" s="22"/>
      <c r="O20" s="15"/>
      <c r="P20" s="15"/>
      <c r="Q20" s="15"/>
      <c r="R20" s="15"/>
      <c r="S20" s="15"/>
      <c r="T20" s="15"/>
      <c r="U20" s="15"/>
    </row>
    <row r="21" spans="3:21" ht="15.75" customHeight="1" thickBot="1" x14ac:dyDescent="0.3">
      <c r="C21" s="15"/>
      <c r="D21" s="15"/>
      <c r="F21" s="6"/>
      <c r="G21" s="6" t="s">
        <v>5</v>
      </c>
      <c r="H21" s="6" t="s">
        <v>6</v>
      </c>
      <c r="I21" s="6" t="s">
        <v>7</v>
      </c>
      <c r="J21" s="6" t="s">
        <v>8</v>
      </c>
      <c r="K21" s="25" t="s">
        <v>40</v>
      </c>
      <c r="L21" s="27" t="s">
        <v>41</v>
      </c>
      <c r="M21" s="18"/>
      <c r="N21" s="7" t="s">
        <v>9</v>
      </c>
      <c r="O21" s="15"/>
      <c r="P21" s="15"/>
      <c r="Q21" s="15"/>
      <c r="R21" s="15"/>
      <c r="S21" s="15"/>
      <c r="T21" s="15"/>
      <c r="U21" s="15"/>
    </row>
    <row r="22" spans="3:21" ht="15.75" customHeight="1" thickTop="1" thickBot="1" x14ac:dyDescent="0.3">
      <c r="C22" s="15"/>
      <c r="D22" s="15"/>
      <c r="F22" s="6" t="s">
        <v>10</v>
      </c>
      <c r="G22" s="8">
        <v>0</v>
      </c>
      <c r="H22" s="8">
        <v>0</v>
      </c>
      <c r="I22" s="8">
        <v>0</v>
      </c>
      <c r="J22" s="8">
        <v>160</v>
      </c>
      <c r="K22">
        <f>SUM(G22:J22)</f>
        <v>160</v>
      </c>
      <c r="L22" s="27" t="s">
        <v>41</v>
      </c>
      <c r="M22" s="18"/>
      <c r="N22" s="7">
        <v>160</v>
      </c>
      <c r="O22" s="15"/>
      <c r="P22" s="15"/>
      <c r="Q22" s="15"/>
      <c r="R22" s="15"/>
      <c r="S22" s="15"/>
      <c r="T22" s="15"/>
      <c r="U22" s="15"/>
    </row>
    <row r="23" spans="3:21" ht="15.75" customHeight="1" thickTop="1" thickBot="1" x14ac:dyDescent="0.3">
      <c r="C23" s="15"/>
      <c r="D23" s="15"/>
      <c r="E23" s="5" t="s">
        <v>11</v>
      </c>
      <c r="F23" s="6" t="s">
        <v>12</v>
      </c>
      <c r="G23" s="8">
        <v>80</v>
      </c>
      <c r="H23" s="8">
        <v>10</v>
      </c>
      <c r="I23" s="8">
        <v>0</v>
      </c>
      <c r="J23" s="8">
        <v>60</v>
      </c>
      <c r="K23">
        <f t="shared" ref="K23:K24" si="0">SUM(G23:J23)</f>
        <v>150</v>
      </c>
      <c r="L23" s="27" t="s">
        <v>41</v>
      </c>
      <c r="M23" s="18"/>
      <c r="N23" s="7">
        <v>150</v>
      </c>
      <c r="O23" s="15"/>
      <c r="P23" s="15"/>
      <c r="Q23" s="15"/>
      <c r="R23" s="15"/>
      <c r="S23" s="15"/>
      <c r="T23" s="15"/>
      <c r="U23" s="15"/>
    </row>
    <row r="24" spans="3:21" ht="15.75" customHeight="1" thickTop="1" thickBot="1" x14ac:dyDescent="0.3">
      <c r="C24" s="15"/>
      <c r="D24" s="15"/>
      <c r="F24" s="6" t="s">
        <v>13</v>
      </c>
      <c r="G24" s="8">
        <v>0</v>
      </c>
      <c r="H24" s="8">
        <v>80</v>
      </c>
      <c r="I24" s="8">
        <v>110</v>
      </c>
      <c r="J24" s="8">
        <v>0</v>
      </c>
      <c r="K24">
        <f t="shared" si="0"/>
        <v>190</v>
      </c>
      <c r="L24" s="27" t="s">
        <v>41</v>
      </c>
      <c r="M24" s="18"/>
      <c r="N24" s="7">
        <v>190</v>
      </c>
      <c r="O24" s="15"/>
      <c r="P24" s="15"/>
      <c r="Q24" s="15"/>
      <c r="R24" s="15"/>
      <c r="S24" s="15"/>
      <c r="T24" s="15"/>
      <c r="U24" s="15"/>
    </row>
    <row r="25" spans="3:21" ht="15.75" customHeight="1" thickTop="1" x14ac:dyDescent="0.25">
      <c r="C25" s="15"/>
      <c r="D25" s="15"/>
      <c r="F25" s="6" t="s">
        <v>40</v>
      </c>
      <c r="G25">
        <f>SUM(G22:G24)</f>
        <v>80</v>
      </c>
      <c r="H25">
        <f t="shared" ref="H25:J25" si="1">SUM(H22:H24)</f>
        <v>90</v>
      </c>
      <c r="I25">
        <f t="shared" si="1"/>
        <v>110</v>
      </c>
      <c r="J25">
        <f t="shared" si="1"/>
        <v>220</v>
      </c>
      <c r="L25" s="22"/>
      <c r="M25" s="24"/>
      <c r="O25" s="15"/>
      <c r="P25" s="15"/>
      <c r="Q25" s="15"/>
      <c r="R25" s="15"/>
      <c r="S25" s="15"/>
      <c r="T25" s="15"/>
      <c r="U25" s="15"/>
    </row>
    <row r="26" spans="3:21" ht="15.75" customHeight="1" x14ac:dyDescent="0.25">
      <c r="C26" s="15"/>
      <c r="D26" s="15"/>
      <c r="E26" s="15"/>
      <c r="F26" s="19"/>
      <c r="G26" s="19"/>
      <c r="H26" s="19"/>
      <c r="I26" s="19"/>
      <c r="J26" s="19"/>
      <c r="K26" s="29" t="s">
        <v>43</v>
      </c>
      <c r="L26" s="29">
        <f>SUMPRODUCT(G11:J13,G22:J24)</f>
        <v>20280</v>
      </c>
      <c r="M26" s="22"/>
      <c r="N26" s="15"/>
      <c r="O26" s="15"/>
      <c r="P26" s="15"/>
      <c r="Q26" s="15"/>
      <c r="R26" s="15"/>
      <c r="S26" s="15"/>
      <c r="T26" s="15"/>
      <c r="U26" s="15"/>
    </row>
    <row r="27" spans="3:21" ht="15.75" customHeight="1" x14ac:dyDescent="0.25">
      <c r="C27" s="15"/>
      <c r="D27" s="15"/>
      <c r="E27" s="15"/>
      <c r="F27" s="15"/>
      <c r="G27" s="27" t="s">
        <v>41</v>
      </c>
      <c r="H27" s="27" t="s">
        <v>41</v>
      </c>
      <c r="I27" s="27" t="s">
        <v>41</v>
      </c>
      <c r="J27" s="27" t="s">
        <v>41</v>
      </c>
      <c r="K27" s="15"/>
      <c r="L27" s="22"/>
      <c r="M27" s="22"/>
      <c r="N27" s="15"/>
      <c r="O27" s="15"/>
      <c r="P27" s="15"/>
      <c r="Q27" s="15"/>
      <c r="R27" s="15"/>
      <c r="S27" s="15"/>
      <c r="T27" s="15"/>
      <c r="U27" s="15"/>
    </row>
    <row r="28" spans="3:21" ht="15.75" customHeight="1" thickBot="1" x14ac:dyDescent="0.3">
      <c r="C28" s="15"/>
      <c r="D28" s="15"/>
      <c r="E28" s="15"/>
      <c r="F28" s="7" t="s">
        <v>14</v>
      </c>
      <c r="G28" s="7">
        <v>80</v>
      </c>
      <c r="H28" s="7">
        <v>90</v>
      </c>
      <c r="I28" s="7">
        <v>110</v>
      </c>
      <c r="J28" s="7">
        <v>220</v>
      </c>
      <c r="L28" s="15"/>
      <c r="M28" s="15"/>
      <c r="N28" s="15"/>
      <c r="O28" s="15"/>
      <c r="P28" s="15"/>
      <c r="Q28" s="15"/>
      <c r="R28" s="15"/>
      <c r="S28" s="15"/>
      <c r="T28" s="15"/>
      <c r="U28" s="15"/>
    </row>
    <row r="29" spans="3:21" ht="15.75" customHeight="1" thickTop="1" x14ac:dyDescent="0.25"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</row>
    <row r="30" spans="3:21" ht="15.75" customHeight="1" x14ac:dyDescent="0.25"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</row>
    <row r="31" spans="3:21" ht="15.75" customHeight="1" x14ac:dyDescent="0.25"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</row>
    <row r="32" spans="3:21" ht="15.75" customHeight="1" x14ac:dyDescent="0.25"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</row>
    <row r="33" spans="3:21" ht="15.75" customHeight="1" x14ac:dyDescent="0.25"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</row>
    <row r="34" spans="3:21" ht="15.75" customHeight="1" x14ac:dyDescent="0.25"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</row>
    <row r="35" spans="3:21" ht="15.75" customHeight="1" x14ac:dyDescent="0.25"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</row>
    <row r="36" spans="3:21" ht="15.75" customHeight="1" x14ac:dyDescent="0.25"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</row>
    <row r="37" spans="3:21" ht="15.75" customHeight="1" x14ac:dyDescent="0.25"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</row>
    <row r="38" spans="3:21" ht="15.75" customHeight="1" x14ac:dyDescent="0.25"/>
    <row r="39" spans="3:21" ht="15.75" customHeight="1" x14ac:dyDescent="0.25"/>
    <row r="40" spans="3:21" ht="15.75" customHeight="1" x14ac:dyDescent="0.25"/>
    <row r="41" spans="3:21" ht="15.75" customHeight="1" x14ac:dyDescent="0.25"/>
    <row r="42" spans="3:21" ht="15.75" customHeight="1" x14ac:dyDescent="0.25"/>
    <row r="43" spans="3:21" ht="15.75" customHeight="1" x14ac:dyDescent="0.25"/>
    <row r="44" spans="3:21" ht="15.75" customHeight="1" x14ac:dyDescent="0.25"/>
    <row r="45" spans="3:21" ht="15.75" customHeight="1" x14ac:dyDescent="0.25"/>
    <row r="46" spans="3:21" ht="15.75" customHeight="1" x14ac:dyDescent="0.25"/>
    <row r="47" spans="3:21" ht="15.75" customHeight="1" x14ac:dyDescent="0.25"/>
    <row r="48" spans="3:21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D17:E17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00"/>
  <sheetViews>
    <sheetView zoomScale="87" workbookViewId="0">
      <selection activeCell="C18" sqref="C18:L30"/>
    </sheetView>
  </sheetViews>
  <sheetFormatPr defaultColWidth="14.42578125" defaultRowHeight="15" customHeight="1" x14ac:dyDescent="0.25"/>
  <cols>
    <col min="1" max="1" width="45.42578125" bestFit="1" customWidth="1"/>
    <col min="2" max="6" width="8.7109375" customWidth="1"/>
    <col min="7" max="7" width="13.140625" bestFit="1" customWidth="1"/>
    <col min="8" max="8" width="8.7109375" customWidth="1"/>
    <col min="9" max="9" width="11.7109375" customWidth="1"/>
    <col min="10" max="10" width="10" bestFit="1" customWidth="1"/>
    <col min="11" max="25" width="8.7109375" customWidth="1"/>
  </cols>
  <sheetData>
    <row r="1" spans="1:12" ht="26.25" x14ac:dyDescent="0.4">
      <c r="F1" s="1" t="s">
        <v>0</v>
      </c>
    </row>
    <row r="2" spans="1:12" ht="26.25" x14ac:dyDescent="0.4">
      <c r="F2" s="1" t="s">
        <v>1</v>
      </c>
    </row>
    <row r="3" spans="1:12" ht="15" customHeight="1" x14ac:dyDescent="0.3">
      <c r="A3" s="2" t="s">
        <v>44</v>
      </c>
    </row>
    <row r="4" spans="1:12" ht="18.75" x14ac:dyDescent="0.3">
      <c r="A4" s="2" t="s">
        <v>45</v>
      </c>
    </row>
    <row r="5" spans="1:12" ht="18.75" x14ac:dyDescent="0.3">
      <c r="A5" s="2" t="s">
        <v>46</v>
      </c>
    </row>
    <row r="8" spans="1:12" ht="15.75" thickBot="1" x14ac:dyDescent="0.3"/>
    <row r="9" spans="1:12" ht="16.5" thickTop="1" thickBot="1" x14ac:dyDescent="0.3">
      <c r="C9" s="4" t="s">
        <v>3</v>
      </c>
      <c r="G9" s="5" t="s">
        <v>4</v>
      </c>
    </row>
    <row r="10" spans="1:12" ht="16.5" thickTop="1" thickBot="1" x14ac:dyDescent="0.3">
      <c r="E10" s="6"/>
      <c r="F10" s="6" t="s">
        <v>5</v>
      </c>
      <c r="G10" s="6" t="s">
        <v>6</v>
      </c>
      <c r="H10" s="6" t="s">
        <v>7</v>
      </c>
      <c r="I10" s="7" t="s">
        <v>9</v>
      </c>
    </row>
    <row r="11" spans="1:12" ht="16.5" thickTop="1" thickBot="1" x14ac:dyDescent="0.3">
      <c r="E11" s="6" t="s">
        <v>10</v>
      </c>
      <c r="F11" s="8">
        <v>10</v>
      </c>
      <c r="G11" s="8">
        <v>9</v>
      </c>
      <c r="H11" s="8">
        <v>8</v>
      </c>
      <c r="I11" s="7">
        <v>8</v>
      </c>
      <c r="J11" s="11"/>
      <c r="K11" s="14" t="s">
        <v>39</v>
      </c>
    </row>
    <row r="12" spans="1:12" ht="16.5" thickTop="1" thickBot="1" x14ac:dyDescent="0.3">
      <c r="D12" s="5" t="s">
        <v>11</v>
      </c>
      <c r="E12" s="6" t="s">
        <v>12</v>
      </c>
      <c r="F12" s="8">
        <v>10</v>
      </c>
      <c r="G12" s="8">
        <v>7</v>
      </c>
      <c r="H12" s="8">
        <v>10</v>
      </c>
      <c r="I12" s="7">
        <v>7</v>
      </c>
      <c r="K12" s="14" t="s">
        <v>9</v>
      </c>
      <c r="L12" s="9">
        <f>SUM(I11:I14)</f>
        <v>28</v>
      </c>
    </row>
    <row r="13" spans="1:12" ht="16.5" thickTop="1" thickBot="1" x14ac:dyDescent="0.3">
      <c r="E13" s="6" t="s">
        <v>13</v>
      </c>
      <c r="F13" s="8">
        <v>11</v>
      </c>
      <c r="G13" s="8">
        <v>9</v>
      </c>
      <c r="H13" s="8">
        <v>7</v>
      </c>
      <c r="I13" s="7">
        <v>9</v>
      </c>
      <c r="K13" s="14" t="s">
        <v>14</v>
      </c>
      <c r="L13" s="9">
        <f>SUM(F15:H15)</f>
        <v>28</v>
      </c>
    </row>
    <row r="14" spans="1:12" ht="16.5" thickTop="1" thickBot="1" x14ac:dyDescent="0.3">
      <c r="E14" s="6" t="s">
        <v>19</v>
      </c>
      <c r="F14" s="8">
        <v>12</v>
      </c>
      <c r="G14" s="8">
        <v>14</v>
      </c>
      <c r="H14" s="8">
        <v>10</v>
      </c>
      <c r="I14" s="7">
        <v>4</v>
      </c>
    </row>
    <row r="15" spans="1:12" ht="16.5" thickTop="1" thickBot="1" x14ac:dyDescent="0.3">
      <c r="E15" s="7" t="s">
        <v>14</v>
      </c>
      <c r="F15" s="7">
        <v>10</v>
      </c>
      <c r="G15" s="7">
        <v>10</v>
      </c>
      <c r="H15" s="7">
        <v>8</v>
      </c>
    </row>
    <row r="17" spans="2:17" ht="15" customHeight="1" thickBot="1" x14ac:dyDescent="0.3"/>
    <row r="18" spans="2:17" ht="16.5" thickTop="1" thickBot="1" x14ac:dyDescent="0.3">
      <c r="B18" s="15"/>
      <c r="C18" s="28" t="s">
        <v>42</v>
      </c>
      <c r="D18" s="28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</row>
    <row r="19" spans="2:17" ht="15" customHeight="1" thickTop="1" x14ac:dyDescent="0.25"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</row>
    <row r="20" spans="2:17" x14ac:dyDescent="0.25">
      <c r="B20" s="15"/>
      <c r="C20" s="15"/>
      <c r="D20" s="15"/>
      <c r="E20" s="15"/>
      <c r="F20" s="15"/>
      <c r="G20" s="17"/>
      <c r="H20" s="15"/>
      <c r="I20" s="15"/>
      <c r="J20" s="15"/>
      <c r="K20" s="22"/>
      <c r="L20" s="22"/>
      <c r="M20" s="15"/>
      <c r="N20" s="15"/>
      <c r="O20" s="15"/>
      <c r="P20" s="15"/>
      <c r="Q20" s="15"/>
    </row>
    <row r="21" spans="2:17" ht="15.75" customHeight="1" x14ac:dyDescent="0.25">
      <c r="B21" s="15"/>
      <c r="C21" s="15"/>
      <c r="G21" s="5" t="s">
        <v>4</v>
      </c>
      <c r="L21" s="22"/>
      <c r="N21" s="15"/>
      <c r="O21" s="15"/>
      <c r="P21" s="15"/>
      <c r="Q21" s="15"/>
    </row>
    <row r="22" spans="2:17" ht="15.75" customHeight="1" thickBot="1" x14ac:dyDescent="0.3">
      <c r="B22" s="15"/>
      <c r="C22" s="15"/>
      <c r="E22" s="6"/>
      <c r="F22" s="6" t="s">
        <v>5</v>
      </c>
      <c r="G22" s="6" t="s">
        <v>6</v>
      </c>
      <c r="H22" s="6" t="s">
        <v>7</v>
      </c>
      <c r="I22" s="25" t="s">
        <v>40</v>
      </c>
      <c r="J22" s="27" t="s">
        <v>41</v>
      </c>
      <c r="K22" s="18"/>
      <c r="L22" s="34" t="s">
        <v>9</v>
      </c>
      <c r="M22" s="22"/>
      <c r="N22" s="15"/>
      <c r="O22" s="15"/>
      <c r="P22" s="15"/>
      <c r="Q22" s="15"/>
    </row>
    <row r="23" spans="2:17" ht="15.75" customHeight="1" thickTop="1" thickBot="1" x14ac:dyDescent="0.3">
      <c r="B23" s="15"/>
      <c r="C23" s="15"/>
      <c r="E23" s="6" t="s">
        <v>10</v>
      </c>
      <c r="F23" s="8">
        <v>6</v>
      </c>
      <c r="G23" s="8">
        <v>2</v>
      </c>
      <c r="H23" s="8">
        <v>0</v>
      </c>
      <c r="I23">
        <f>SUM(F23:H23)</f>
        <v>8</v>
      </c>
      <c r="J23" s="27" t="s">
        <v>41</v>
      </c>
      <c r="K23" s="18"/>
      <c r="L23" s="34">
        <v>8</v>
      </c>
      <c r="M23" s="22"/>
      <c r="N23" s="15"/>
      <c r="O23" s="15"/>
      <c r="P23" s="15"/>
      <c r="Q23" s="15"/>
    </row>
    <row r="24" spans="2:17" ht="15.75" customHeight="1" thickTop="1" thickBot="1" x14ac:dyDescent="0.3">
      <c r="B24" s="15"/>
      <c r="C24" s="15"/>
      <c r="D24" s="5" t="s">
        <v>11</v>
      </c>
      <c r="E24" s="6" t="s">
        <v>12</v>
      </c>
      <c r="F24" s="8">
        <v>0</v>
      </c>
      <c r="G24" s="8">
        <v>7</v>
      </c>
      <c r="H24" s="8">
        <v>0</v>
      </c>
      <c r="I24">
        <f>SUM(F24:H24)</f>
        <v>7</v>
      </c>
      <c r="J24" s="27" t="s">
        <v>41</v>
      </c>
      <c r="K24" s="18"/>
      <c r="L24" s="34">
        <v>7</v>
      </c>
      <c r="M24" s="22"/>
      <c r="N24" s="15"/>
      <c r="O24" s="15"/>
      <c r="P24" s="15"/>
      <c r="Q24" s="15"/>
    </row>
    <row r="25" spans="2:17" ht="15.75" customHeight="1" thickTop="1" thickBot="1" x14ac:dyDescent="0.3">
      <c r="B25" s="15"/>
      <c r="C25" s="15"/>
      <c r="E25" s="6" t="s">
        <v>13</v>
      </c>
      <c r="F25" s="8">
        <v>0</v>
      </c>
      <c r="G25" s="8">
        <v>1</v>
      </c>
      <c r="H25" s="8">
        <v>8</v>
      </c>
      <c r="I25">
        <f>SUM(F25:H25)</f>
        <v>9</v>
      </c>
      <c r="J25" s="27" t="s">
        <v>41</v>
      </c>
      <c r="K25" s="18"/>
      <c r="L25" s="34">
        <v>9</v>
      </c>
      <c r="M25" s="22"/>
      <c r="N25" s="15"/>
      <c r="O25" s="15"/>
      <c r="P25" s="15"/>
      <c r="Q25" s="15"/>
    </row>
    <row r="26" spans="2:17" ht="15.75" customHeight="1" thickTop="1" thickBot="1" x14ac:dyDescent="0.3">
      <c r="B26" s="15"/>
      <c r="C26" s="15"/>
      <c r="E26" s="6" t="s">
        <v>19</v>
      </c>
      <c r="F26" s="8">
        <v>4</v>
      </c>
      <c r="G26" s="8">
        <v>0</v>
      </c>
      <c r="H26" s="8">
        <v>0</v>
      </c>
      <c r="I26">
        <f>SUM(F26:H26)</f>
        <v>4</v>
      </c>
      <c r="J26" s="27" t="s">
        <v>41</v>
      </c>
      <c r="K26" s="24"/>
      <c r="L26" s="34">
        <v>4</v>
      </c>
      <c r="M26" s="22"/>
      <c r="N26" s="15"/>
      <c r="O26" s="15"/>
      <c r="P26" s="15"/>
      <c r="Q26" s="15"/>
    </row>
    <row r="27" spans="2:17" ht="15.75" customHeight="1" thickTop="1" x14ac:dyDescent="0.25">
      <c r="B27" s="15"/>
      <c r="C27" s="15"/>
      <c r="E27" s="6" t="s">
        <v>40</v>
      </c>
      <c r="F27">
        <f>SUM(F23:F26)</f>
        <v>10</v>
      </c>
      <c r="G27">
        <f t="shared" ref="G27:I27" si="0">SUM(G23:G26)</f>
        <v>10</v>
      </c>
      <c r="H27">
        <f t="shared" si="0"/>
        <v>8</v>
      </c>
      <c r="K27" s="26"/>
      <c r="L27" s="24"/>
      <c r="M27" s="22"/>
      <c r="N27" s="15"/>
      <c r="O27" s="15"/>
      <c r="P27" s="15"/>
      <c r="Q27" s="15"/>
    </row>
    <row r="28" spans="2:17" ht="15.75" customHeight="1" x14ac:dyDescent="0.25">
      <c r="B28" s="15"/>
      <c r="C28" s="15"/>
      <c r="D28" s="15"/>
      <c r="E28" s="19"/>
      <c r="F28" s="19"/>
      <c r="G28" s="19"/>
      <c r="H28" s="19"/>
      <c r="I28" s="29" t="s">
        <v>43</v>
      </c>
      <c r="J28" s="29">
        <f>SUMPRODUCT(F11:H14,F23:H26)</f>
        <v>240</v>
      </c>
      <c r="L28" s="22"/>
      <c r="M28" s="15"/>
      <c r="N28" s="15"/>
      <c r="O28" s="15"/>
      <c r="P28" s="15"/>
      <c r="Q28" s="15"/>
    </row>
    <row r="29" spans="2:17" ht="15.75" customHeight="1" x14ac:dyDescent="0.25">
      <c r="B29" s="15"/>
      <c r="C29" s="15"/>
      <c r="D29" s="15"/>
      <c r="E29" s="15"/>
      <c r="F29" s="27" t="s">
        <v>41</v>
      </c>
      <c r="G29" s="27" t="s">
        <v>41</v>
      </c>
      <c r="H29" s="27" t="s">
        <v>41</v>
      </c>
      <c r="I29" s="26"/>
      <c r="J29" s="15"/>
      <c r="K29" s="22"/>
      <c r="L29" s="22"/>
      <c r="M29" s="15"/>
      <c r="N29" s="15"/>
      <c r="O29" s="15"/>
      <c r="P29" s="15"/>
      <c r="Q29" s="15"/>
    </row>
    <row r="30" spans="2:17" ht="15.75" customHeight="1" thickBot="1" x14ac:dyDescent="0.3">
      <c r="B30" s="15"/>
      <c r="C30" s="15"/>
      <c r="D30" s="15"/>
      <c r="E30" s="7" t="s">
        <v>14</v>
      </c>
      <c r="F30" s="7">
        <v>10</v>
      </c>
      <c r="G30" s="7">
        <v>10</v>
      </c>
      <c r="H30" s="7">
        <v>8</v>
      </c>
      <c r="I30" s="30"/>
      <c r="K30" s="15"/>
      <c r="L30" s="15"/>
      <c r="M30" s="15"/>
      <c r="N30" s="15"/>
      <c r="O30" s="15"/>
      <c r="P30" s="15"/>
      <c r="Q30" s="15"/>
    </row>
    <row r="31" spans="2:17" ht="15.75" customHeight="1" thickTop="1" x14ac:dyDescent="0.25"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</row>
    <row r="32" spans="2:17" ht="15.75" customHeight="1" x14ac:dyDescent="0.25"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</row>
    <row r="33" spans="2:17" ht="15.75" customHeight="1" x14ac:dyDescent="0.25"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</row>
    <row r="34" spans="2:17" ht="15.75" customHeight="1" x14ac:dyDescent="0.25"/>
    <row r="35" spans="2:17" ht="15.75" customHeight="1" x14ac:dyDescent="0.25"/>
    <row r="36" spans="2:17" ht="15.75" customHeight="1" x14ac:dyDescent="0.25"/>
    <row r="37" spans="2:17" ht="15.75" customHeight="1" x14ac:dyDescent="0.25"/>
    <row r="38" spans="2:17" ht="15.75" customHeight="1" x14ac:dyDescent="0.25"/>
    <row r="39" spans="2:17" ht="15.75" customHeight="1" x14ac:dyDescent="0.25"/>
    <row r="40" spans="2:17" ht="15.75" customHeight="1" x14ac:dyDescent="0.25"/>
    <row r="41" spans="2:17" ht="15.75" customHeight="1" x14ac:dyDescent="0.25"/>
    <row r="42" spans="2:17" ht="15.75" customHeight="1" x14ac:dyDescent="0.25"/>
    <row r="43" spans="2:17" ht="15.75" customHeight="1" x14ac:dyDescent="0.25"/>
    <row r="44" spans="2:17" ht="15.75" customHeight="1" x14ac:dyDescent="0.25"/>
    <row r="45" spans="2:17" ht="15.75" customHeight="1" x14ac:dyDescent="0.25"/>
    <row r="46" spans="2:17" ht="15.75" customHeight="1" x14ac:dyDescent="0.25"/>
    <row r="47" spans="2:17" ht="15.75" customHeight="1" x14ac:dyDescent="0.25"/>
    <row r="48" spans="2:1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C18:D18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99"/>
  <sheetViews>
    <sheetView topLeftCell="A4" zoomScale="125" workbookViewId="0">
      <selection activeCell="A21" sqref="A21"/>
    </sheetView>
  </sheetViews>
  <sheetFormatPr defaultColWidth="14.42578125" defaultRowHeight="15" customHeight="1" x14ac:dyDescent="0.25"/>
  <cols>
    <col min="1" max="1" width="44" customWidth="1"/>
    <col min="2" max="9" width="8.7109375" customWidth="1"/>
    <col min="10" max="10" width="11.5703125" customWidth="1"/>
    <col min="11" max="26" width="8.7109375" customWidth="1"/>
  </cols>
  <sheetData>
    <row r="1" spans="1:14" ht="26.25" x14ac:dyDescent="0.4">
      <c r="G1" s="1" t="s">
        <v>0</v>
      </c>
    </row>
    <row r="2" spans="1:14" ht="26.25" x14ac:dyDescent="0.4">
      <c r="G2" s="1" t="s">
        <v>1</v>
      </c>
    </row>
    <row r="4" spans="1:14" ht="18.75" x14ac:dyDescent="0.3">
      <c r="A4" s="2" t="s">
        <v>44</v>
      </c>
    </row>
    <row r="5" spans="1:14" ht="18.75" x14ac:dyDescent="0.3">
      <c r="A5" s="2" t="s">
        <v>45</v>
      </c>
    </row>
    <row r="6" spans="1:14" ht="18.75" x14ac:dyDescent="0.3">
      <c r="A6" s="2" t="s">
        <v>46</v>
      </c>
    </row>
    <row r="8" spans="1:14" ht="15.75" x14ac:dyDescent="0.25">
      <c r="A8" s="3" t="s">
        <v>20</v>
      </c>
    </row>
    <row r="9" spans="1:14" x14ac:dyDescent="0.25">
      <c r="D9" s="4" t="s">
        <v>3</v>
      </c>
      <c r="H9" s="5" t="s">
        <v>4</v>
      </c>
    </row>
    <row r="10" spans="1:14" x14ac:dyDescent="0.25">
      <c r="F10" s="6"/>
      <c r="G10" s="6" t="s">
        <v>5</v>
      </c>
      <c r="H10" s="6" t="s">
        <v>6</v>
      </c>
      <c r="I10" s="6" t="s">
        <v>7</v>
      </c>
      <c r="J10" s="7" t="s">
        <v>9</v>
      </c>
    </row>
    <row r="11" spans="1:14" x14ac:dyDescent="0.25">
      <c r="F11" s="6" t="s">
        <v>10</v>
      </c>
      <c r="G11" s="8">
        <v>8</v>
      </c>
      <c r="H11" s="8">
        <v>7</v>
      </c>
      <c r="I11" s="8">
        <v>3</v>
      </c>
      <c r="J11" s="7">
        <v>60</v>
      </c>
      <c r="K11" s="11"/>
    </row>
    <row r="12" spans="1:14" x14ac:dyDescent="0.25">
      <c r="E12" s="5" t="s">
        <v>11</v>
      </c>
      <c r="F12" s="6" t="s">
        <v>12</v>
      </c>
      <c r="G12" s="8">
        <v>3</v>
      </c>
      <c r="H12" s="8">
        <v>8</v>
      </c>
      <c r="I12" s="8">
        <v>9</v>
      </c>
      <c r="J12" s="7">
        <v>70</v>
      </c>
      <c r="L12" s="14" t="s">
        <v>39</v>
      </c>
    </row>
    <row r="13" spans="1:14" x14ac:dyDescent="0.25">
      <c r="F13" s="6" t="s">
        <v>13</v>
      </c>
      <c r="G13" s="8">
        <v>11</v>
      </c>
      <c r="H13" s="8">
        <v>3</v>
      </c>
      <c r="I13" s="8">
        <v>5</v>
      </c>
      <c r="J13" s="7">
        <v>80</v>
      </c>
      <c r="L13" s="14" t="s">
        <v>9</v>
      </c>
      <c r="M13" s="9">
        <f>SUM(J11:J13)</f>
        <v>210</v>
      </c>
    </row>
    <row r="14" spans="1:14" x14ac:dyDescent="0.25">
      <c r="F14" s="7" t="s">
        <v>14</v>
      </c>
      <c r="G14" s="7">
        <v>50</v>
      </c>
      <c r="H14" s="7">
        <v>80</v>
      </c>
      <c r="I14" s="7">
        <v>80</v>
      </c>
      <c r="L14" s="14" t="s">
        <v>14</v>
      </c>
      <c r="M14" s="9">
        <f>SUM(G14:I14)</f>
        <v>210</v>
      </c>
    </row>
    <row r="15" spans="1:14" x14ac:dyDescent="0.25">
      <c r="C15" s="15"/>
      <c r="D15" s="15"/>
      <c r="E15" s="15"/>
      <c r="F15" s="15"/>
      <c r="G15" s="15"/>
      <c r="H15" s="15"/>
      <c r="I15" s="15"/>
      <c r="J15" s="15"/>
      <c r="K15" s="15"/>
      <c r="L15" s="21"/>
      <c r="M15" s="15"/>
      <c r="N15" s="15"/>
    </row>
    <row r="16" spans="1:14" ht="15" customHeight="1" thickBot="1" x14ac:dyDescent="0.3"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</row>
    <row r="17" spans="3:14" ht="16.5" thickTop="1" thickBot="1" x14ac:dyDescent="0.3">
      <c r="C17" s="15"/>
      <c r="D17" s="28" t="s">
        <v>42</v>
      </c>
      <c r="E17" s="28"/>
      <c r="F17" s="15"/>
      <c r="G17" s="15"/>
      <c r="H17" s="15"/>
      <c r="I17" s="15"/>
      <c r="J17" s="15"/>
      <c r="K17" s="15"/>
      <c r="L17" s="15"/>
      <c r="M17" s="15"/>
      <c r="N17" s="15"/>
    </row>
    <row r="18" spans="3:14" ht="15" customHeight="1" thickTop="1" x14ac:dyDescent="0.25"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</row>
    <row r="19" spans="3:14" x14ac:dyDescent="0.25">
      <c r="C19" s="15"/>
      <c r="D19" s="15"/>
      <c r="E19" s="15"/>
      <c r="F19" s="15"/>
      <c r="G19" s="15"/>
      <c r="H19" s="17"/>
      <c r="I19" s="15"/>
      <c r="J19" s="15"/>
      <c r="K19" s="15"/>
      <c r="L19" s="22"/>
      <c r="M19" s="22"/>
      <c r="N19" s="15"/>
    </row>
    <row r="20" spans="3:14" x14ac:dyDescent="0.25">
      <c r="C20" s="15"/>
      <c r="D20" s="15"/>
      <c r="H20" s="5" t="s">
        <v>4</v>
      </c>
      <c r="M20" s="22"/>
      <c r="N20" s="15"/>
    </row>
    <row r="21" spans="3:14" ht="15.75" customHeight="1" thickBot="1" x14ac:dyDescent="0.3">
      <c r="C21" s="15"/>
      <c r="D21" s="15"/>
      <c r="F21" s="6"/>
      <c r="G21" s="6" t="s">
        <v>5</v>
      </c>
      <c r="H21" s="6" t="s">
        <v>6</v>
      </c>
      <c r="I21" s="6" t="s">
        <v>7</v>
      </c>
      <c r="J21" s="25" t="s">
        <v>40</v>
      </c>
      <c r="K21" s="27" t="s">
        <v>41</v>
      </c>
      <c r="L21" s="18"/>
      <c r="M21" s="7" t="s">
        <v>9</v>
      </c>
      <c r="N21" s="15"/>
    </row>
    <row r="22" spans="3:14" ht="15.75" customHeight="1" thickTop="1" thickBot="1" x14ac:dyDescent="0.3">
      <c r="C22" s="15"/>
      <c r="D22" s="15"/>
      <c r="F22" s="6" t="s">
        <v>10</v>
      </c>
      <c r="G22" s="8">
        <v>0</v>
      </c>
      <c r="H22" s="8">
        <v>0</v>
      </c>
      <c r="I22" s="8">
        <v>60</v>
      </c>
      <c r="J22">
        <f>SUM(G22:I22)</f>
        <v>60</v>
      </c>
      <c r="K22" s="27" t="s">
        <v>41</v>
      </c>
      <c r="L22" s="18"/>
      <c r="M22" s="7">
        <v>60</v>
      </c>
      <c r="N22" s="15"/>
    </row>
    <row r="23" spans="3:14" ht="15.75" customHeight="1" thickTop="1" thickBot="1" x14ac:dyDescent="0.3">
      <c r="C23" s="15"/>
      <c r="D23" s="15"/>
      <c r="E23" s="5" t="s">
        <v>11</v>
      </c>
      <c r="F23" s="6" t="s">
        <v>12</v>
      </c>
      <c r="G23" s="8">
        <v>50</v>
      </c>
      <c r="H23" s="8">
        <v>0</v>
      </c>
      <c r="I23" s="8">
        <v>20</v>
      </c>
      <c r="J23">
        <f>SUM(G23:I23)</f>
        <v>70</v>
      </c>
      <c r="K23" s="27" t="s">
        <v>41</v>
      </c>
      <c r="L23" s="18"/>
      <c r="M23" s="7">
        <v>70</v>
      </c>
      <c r="N23" s="15"/>
    </row>
    <row r="24" spans="3:14" ht="15.75" customHeight="1" thickTop="1" thickBot="1" x14ac:dyDescent="0.3">
      <c r="C24" s="15"/>
      <c r="D24" s="15"/>
      <c r="F24" s="6" t="s">
        <v>13</v>
      </c>
      <c r="G24" s="8">
        <v>0</v>
      </c>
      <c r="H24" s="8">
        <v>80</v>
      </c>
      <c r="I24" s="8">
        <v>0</v>
      </c>
      <c r="J24">
        <f>SUM(G24:I24)</f>
        <v>80</v>
      </c>
      <c r="K24" s="27" t="s">
        <v>41</v>
      </c>
      <c r="L24" s="18"/>
      <c r="M24" s="7">
        <v>80</v>
      </c>
      <c r="N24" s="15"/>
    </row>
    <row r="25" spans="3:14" ht="15.75" customHeight="1" thickTop="1" x14ac:dyDescent="0.25">
      <c r="C25" s="15"/>
      <c r="D25" s="15"/>
      <c r="F25" s="6" t="s">
        <v>40</v>
      </c>
      <c r="G25">
        <f>SUM(G22:G24)</f>
        <v>50</v>
      </c>
      <c r="H25">
        <f>SUM(H22:H24)</f>
        <v>80</v>
      </c>
      <c r="I25">
        <f>SUM(I22:I24)</f>
        <v>80</v>
      </c>
      <c r="L25" s="26"/>
      <c r="M25" s="24"/>
      <c r="N25" s="15"/>
    </row>
    <row r="26" spans="3:14" ht="15.75" customHeight="1" x14ac:dyDescent="0.25">
      <c r="C26" s="15"/>
      <c r="D26" s="15"/>
      <c r="E26" s="15"/>
      <c r="F26" s="19"/>
      <c r="G26" s="19"/>
      <c r="H26" s="19"/>
      <c r="I26" s="19"/>
      <c r="J26" s="19"/>
      <c r="K26" s="29" t="s">
        <v>43</v>
      </c>
      <c r="L26" s="29">
        <f>SUMPRODUCT(G11:I13,G22:I24)</f>
        <v>750</v>
      </c>
      <c r="M26" s="22"/>
      <c r="N26" s="15"/>
    </row>
    <row r="27" spans="3:14" ht="15.75" customHeight="1" x14ac:dyDescent="0.25">
      <c r="C27" s="15"/>
      <c r="D27" s="15"/>
      <c r="E27" s="15"/>
      <c r="F27" s="15"/>
      <c r="G27" s="27" t="s">
        <v>41</v>
      </c>
      <c r="H27" s="27" t="s">
        <v>41</v>
      </c>
      <c r="I27" s="27" t="s">
        <v>41</v>
      </c>
      <c r="J27" s="26"/>
      <c r="K27" s="15"/>
      <c r="L27" s="22"/>
      <c r="M27" s="22"/>
      <c r="N27" s="15"/>
    </row>
    <row r="28" spans="3:14" ht="15.75" customHeight="1" thickBot="1" x14ac:dyDescent="0.3">
      <c r="C28" s="15"/>
      <c r="D28" s="15"/>
      <c r="E28" s="15"/>
      <c r="F28" s="7" t="s">
        <v>14</v>
      </c>
      <c r="G28" s="7">
        <v>50</v>
      </c>
      <c r="H28" s="7">
        <v>80</v>
      </c>
      <c r="I28" s="7">
        <v>80</v>
      </c>
      <c r="J28" s="30"/>
      <c r="L28" s="15"/>
      <c r="M28" s="15"/>
      <c r="N28" s="15"/>
    </row>
    <row r="29" spans="3:14" ht="15.75" customHeight="1" thickTop="1" x14ac:dyDescent="0.25"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</row>
    <row r="30" spans="3:14" ht="15.75" customHeight="1" x14ac:dyDescent="0.25"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</row>
    <row r="31" spans="3:14" ht="15.75" customHeight="1" x14ac:dyDescent="0.25"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</row>
    <row r="32" spans="3:14" ht="15.75" customHeight="1" x14ac:dyDescent="0.25"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</row>
    <row r="33" spans="3:14" ht="15.75" customHeight="1" x14ac:dyDescent="0.25"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</row>
    <row r="34" spans="3:14" ht="15.75" customHeight="1" x14ac:dyDescent="0.25"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</row>
    <row r="35" spans="3:14" ht="15.75" customHeight="1" x14ac:dyDescent="0.25"/>
    <row r="36" spans="3:14" ht="15.75" customHeight="1" x14ac:dyDescent="0.25"/>
    <row r="37" spans="3:14" ht="15.75" customHeight="1" x14ac:dyDescent="0.25"/>
    <row r="38" spans="3:14" ht="15.75" customHeight="1" x14ac:dyDescent="0.25"/>
    <row r="39" spans="3:14" ht="15.75" customHeight="1" x14ac:dyDescent="0.25"/>
    <row r="40" spans="3:14" ht="15.75" customHeight="1" x14ac:dyDescent="0.25"/>
    <row r="41" spans="3:14" ht="15.75" customHeight="1" x14ac:dyDescent="0.25"/>
    <row r="42" spans="3:14" ht="15.75" customHeight="1" x14ac:dyDescent="0.25"/>
    <row r="43" spans="3:14" ht="15.75" customHeight="1" x14ac:dyDescent="0.25"/>
    <row r="44" spans="3:14" ht="15.75" customHeight="1" x14ac:dyDescent="0.25"/>
    <row r="45" spans="3:14" ht="15.75" customHeight="1" x14ac:dyDescent="0.25"/>
    <row r="46" spans="3:14" ht="15.75" customHeight="1" x14ac:dyDescent="0.25"/>
    <row r="47" spans="3:14" ht="15.75" customHeight="1" x14ac:dyDescent="0.25"/>
    <row r="48" spans="3:14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mergeCells count="1">
    <mergeCell ref="D17:E17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00"/>
  <sheetViews>
    <sheetView tabSelected="1" topLeftCell="A8" workbookViewId="0">
      <selection activeCell="V23" sqref="V23"/>
    </sheetView>
  </sheetViews>
  <sheetFormatPr defaultColWidth="14.42578125" defaultRowHeight="15" customHeight="1" x14ac:dyDescent="0.25"/>
  <cols>
    <col min="1" max="1" width="45.42578125" bestFit="1" customWidth="1"/>
    <col min="2" max="26" width="8.7109375" customWidth="1"/>
  </cols>
  <sheetData>
    <row r="1" spans="1:16" ht="26.25" x14ac:dyDescent="0.4">
      <c r="G1" s="1" t="s">
        <v>0</v>
      </c>
    </row>
    <row r="2" spans="1:16" ht="26.25" x14ac:dyDescent="0.4">
      <c r="G2" s="1" t="s">
        <v>1</v>
      </c>
    </row>
    <row r="4" spans="1:16" ht="18.75" x14ac:dyDescent="0.3">
      <c r="A4" s="2" t="s">
        <v>44</v>
      </c>
    </row>
    <row r="5" spans="1:16" ht="18.75" x14ac:dyDescent="0.3">
      <c r="A5" s="2" t="s">
        <v>45</v>
      </c>
    </row>
    <row r="6" spans="1:16" ht="18.75" x14ac:dyDescent="0.3">
      <c r="A6" s="2" t="s">
        <v>46</v>
      </c>
    </row>
    <row r="8" spans="1:16" ht="15.75" x14ac:dyDescent="0.25">
      <c r="A8" s="3" t="s">
        <v>21</v>
      </c>
    </row>
    <row r="9" spans="1:16" x14ac:dyDescent="0.25">
      <c r="D9" s="4" t="s">
        <v>3</v>
      </c>
      <c r="H9" s="5" t="s">
        <v>4</v>
      </c>
    </row>
    <row r="10" spans="1:16" x14ac:dyDescent="0.25">
      <c r="F10" s="6"/>
      <c r="G10" s="6" t="s">
        <v>5</v>
      </c>
      <c r="H10" s="6" t="s">
        <v>6</v>
      </c>
      <c r="I10" s="6" t="s">
        <v>7</v>
      </c>
      <c r="J10" s="6" t="s">
        <v>8</v>
      </c>
      <c r="K10" s="6" t="s">
        <v>22</v>
      </c>
      <c r="L10" s="6" t="s">
        <v>23</v>
      </c>
      <c r="M10" s="7" t="s">
        <v>9</v>
      </c>
    </row>
    <row r="11" spans="1:16" x14ac:dyDescent="0.25">
      <c r="F11" s="6" t="s">
        <v>10</v>
      </c>
      <c r="G11" s="8">
        <v>5</v>
      </c>
      <c r="H11" s="8">
        <v>3</v>
      </c>
      <c r="I11" s="8">
        <v>7</v>
      </c>
      <c r="J11" s="8">
        <v>3</v>
      </c>
      <c r="K11" s="8">
        <v>8</v>
      </c>
      <c r="L11" s="8">
        <v>5</v>
      </c>
      <c r="M11" s="7">
        <v>3</v>
      </c>
      <c r="N11" s="10"/>
    </row>
    <row r="12" spans="1:16" x14ac:dyDescent="0.25">
      <c r="E12" s="5" t="s">
        <v>11</v>
      </c>
      <c r="F12" s="6" t="s">
        <v>12</v>
      </c>
      <c r="G12" s="8">
        <v>5</v>
      </c>
      <c r="H12" s="8">
        <v>6</v>
      </c>
      <c r="I12" s="8">
        <v>12</v>
      </c>
      <c r="J12" s="8">
        <v>5</v>
      </c>
      <c r="K12" s="8">
        <v>7</v>
      </c>
      <c r="L12" s="8">
        <v>11</v>
      </c>
      <c r="M12" s="7">
        <v>4</v>
      </c>
      <c r="O12" s="14" t="s">
        <v>39</v>
      </c>
    </row>
    <row r="13" spans="1:16" x14ac:dyDescent="0.25">
      <c r="F13" s="6" t="s">
        <v>13</v>
      </c>
      <c r="G13" s="8">
        <v>2</v>
      </c>
      <c r="H13" s="8">
        <v>1</v>
      </c>
      <c r="I13" s="8">
        <v>3</v>
      </c>
      <c r="J13" s="8">
        <v>4</v>
      </c>
      <c r="K13" s="8">
        <v>8</v>
      </c>
      <c r="L13" s="8">
        <v>2</v>
      </c>
      <c r="M13" s="7">
        <v>2</v>
      </c>
      <c r="O13" s="14" t="s">
        <v>9</v>
      </c>
      <c r="P13" s="9">
        <f>SUM(M11:M14)</f>
        <v>17</v>
      </c>
    </row>
    <row r="14" spans="1:16" x14ac:dyDescent="0.25">
      <c r="F14" s="6" t="s">
        <v>19</v>
      </c>
      <c r="G14" s="8">
        <v>9</v>
      </c>
      <c r="H14" s="8">
        <v>6</v>
      </c>
      <c r="I14" s="8">
        <v>10</v>
      </c>
      <c r="J14" s="8">
        <v>5</v>
      </c>
      <c r="K14" s="8">
        <v>10</v>
      </c>
      <c r="L14" s="8">
        <v>9</v>
      </c>
      <c r="M14" s="7">
        <v>8</v>
      </c>
      <c r="O14" s="14" t="s">
        <v>14</v>
      </c>
      <c r="P14" s="9">
        <f>SUM(G15:L15)</f>
        <v>17</v>
      </c>
    </row>
    <row r="15" spans="1:16" x14ac:dyDescent="0.25">
      <c r="F15" s="7" t="s">
        <v>14</v>
      </c>
      <c r="G15" s="7">
        <v>3</v>
      </c>
      <c r="H15" s="7">
        <v>3</v>
      </c>
      <c r="I15" s="7">
        <v>6</v>
      </c>
      <c r="J15" s="7">
        <v>2</v>
      </c>
      <c r="K15" s="7">
        <v>1</v>
      </c>
      <c r="L15" s="7">
        <v>2</v>
      </c>
    </row>
    <row r="17" spans="3:21" ht="15" customHeight="1" thickBot="1" x14ac:dyDescent="0.3"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</row>
    <row r="18" spans="3:21" ht="16.5" thickTop="1" thickBot="1" x14ac:dyDescent="0.3">
      <c r="C18" s="15"/>
      <c r="D18" s="28" t="s">
        <v>42</v>
      </c>
      <c r="E18" s="28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</row>
    <row r="19" spans="3:21" ht="15" customHeight="1" thickTop="1" x14ac:dyDescent="0.25"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21"/>
      <c r="P19" s="15"/>
      <c r="Q19" s="15"/>
      <c r="R19" s="15"/>
      <c r="S19" s="15"/>
      <c r="T19" s="15"/>
      <c r="U19" s="15"/>
    </row>
    <row r="20" spans="3:21" x14ac:dyDescent="0.25">
      <c r="C20" s="15"/>
      <c r="D20" s="15"/>
      <c r="E20" s="15"/>
      <c r="F20" s="15"/>
      <c r="G20" s="15"/>
      <c r="H20" s="17"/>
      <c r="I20" s="15"/>
      <c r="J20" s="15"/>
      <c r="K20" s="15"/>
      <c r="L20" s="22"/>
      <c r="M20" s="22"/>
      <c r="N20" s="15"/>
      <c r="O20" s="21"/>
      <c r="P20" s="15"/>
      <c r="Q20" s="15"/>
      <c r="R20" s="15"/>
      <c r="S20" s="15"/>
      <c r="T20" s="15"/>
      <c r="U20" s="15"/>
    </row>
    <row r="21" spans="3:21" ht="15.75" customHeight="1" x14ac:dyDescent="0.25">
      <c r="C21" s="15"/>
      <c r="D21" s="15"/>
      <c r="H21" s="5" t="s">
        <v>4</v>
      </c>
      <c r="O21" s="22"/>
      <c r="R21" s="20"/>
      <c r="S21" s="15"/>
      <c r="T21" s="15"/>
      <c r="U21" s="15"/>
    </row>
    <row r="22" spans="3:21" ht="15.75" customHeight="1" thickBot="1" x14ac:dyDescent="0.3">
      <c r="C22" s="15"/>
      <c r="D22" s="15"/>
      <c r="F22" s="6"/>
      <c r="G22" s="6" t="s">
        <v>5</v>
      </c>
      <c r="H22" s="6" t="s">
        <v>6</v>
      </c>
      <c r="I22" s="6" t="s">
        <v>7</v>
      </c>
      <c r="J22" s="6" t="s">
        <v>8</v>
      </c>
      <c r="K22" s="6" t="s">
        <v>22</v>
      </c>
      <c r="L22" s="6" t="s">
        <v>23</v>
      </c>
      <c r="M22" s="25" t="s">
        <v>40</v>
      </c>
      <c r="N22" s="27" t="s">
        <v>41</v>
      </c>
      <c r="O22" s="18"/>
      <c r="P22" s="7" t="s">
        <v>9</v>
      </c>
      <c r="R22" s="20"/>
      <c r="S22" s="15"/>
      <c r="T22" s="15"/>
      <c r="U22" s="15"/>
    </row>
    <row r="23" spans="3:21" ht="15.75" customHeight="1" thickTop="1" thickBot="1" x14ac:dyDescent="0.3">
      <c r="C23" s="15"/>
      <c r="D23" s="15"/>
      <c r="F23" s="6" t="s">
        <v>10</v>
      </c>
      <c r="G23" s="8">
        <v>0</v>
      </c>
      <c r="H23" s="8">
        <v>1</v>
      </c>
      <c r="I23" s="8">
        <v>0</v>
      </c>
      <c r="J23" s="8">
        <v>0</v>
      </c>
      <c r="K23" s="8">
        <v>0</v>
      </c>
      <c r="L23" s="8">
        <v>2</v>
      </c>
      <c r="M23">
        <f>SUM(G23:L23)</f>
        <v>3</v>
      </c>
      <c r="N23" s="27" t="s">
        <v>41</v>
      </c>
      <c r="O23" s="18"/>
      <c r="P23" s="7">
        <v>3</v>
      </c>
      <c r="R23" s="20"/>
      <c r="S23" s="15"/>
      <c r="T23" s="15"/>
      <c r="U23" s="15"/>
    </row>
    <row r="24" spans="3:21" ht="15.75" customHeight="1" thickTop="1" thickBot="1" x14ac:dyDescent="0.3">
      <c r="C24" s="15"/>
      <c r="D24" s="15"/>
      <c r="E24" s="5" t="s">
        <v>11</v>
      </c>
      <c r="F24" s="6" t="s">
        <v>12</v>
      </c>
      <c r="G24" s="8">
        <v>3</v>
      </c>
      <c r="H24" s="8">
        <v>0</v>
      </c>
      <c r="I24" s="8">
        <v>0</v>
      </c>
      <c r="J24" s="8">
        <v>0</v>
      </c>
      <c r="K24" s="8">
        <v>1</v>
      </c>
      <c r="L24" s="8">
        <v>0</v>
      </c>
      <c r="M24">
        <f>SUM(G24:L24)</f>
        <v>4</v>
      </c>
      <c r="N24" s="27" t="s">
        <v>41</v>
      </c>
      <c r="O24" s="18"/>
      <c r="P24" s="7">
        <v>4</v>
      </c>
      <c r="R24" s="20"/>
      <c r="S24" s="15"/>
      <c r="T24" s="15"/>
      <c r="U24" s="15"/>
    </row>
    <row r="25" spans="3:21" ht="15.75" customHeight="1" thickTop="1" thickBot="1" x14ac:dyDescent="0.3">
      <c r="C25" s="15"/>
      <c r="D25" s="15"/>
      <c r="F25" s="6" t="s">
        <v>13</v>
      </c>
      <c r="G25" s="8">
        <v>0</v>
      </c>
      <c r="H25" s="8">
        <v>0</v>
      </c>
      <c r="I25" s="8">
        <v>2</v>
      </c>
      <c r="J25" s="8">
        <v>0</v>
      </c>
      <c r="K25" s="8">
        <v>0</v>
      </c>
      <c r="L25" s="8">
        <v>0</v>
      </c>
      <c r="M25">
        <f>SUM(G25:L25)</f>
        <v>2</v>
      </c>
      <c r="N25" s="27" t="s">
        <v>41</v>
      </c>
      <c r="O25" s="18"/>
      <c r="P25" s="7">
        <v>2</v>
      </c>
      <c r="R25" s="20"/>
      <c r="S25" s="15"/>
      <c r="T25" s="15"/>
      <c r="U25" s="15"/>
    </row>
    <row r="26" spans="3:21" ht="15.75" customHeight="1" thickTop="1" thickBot="1" x14ac:dyDescent="0.3">
      <c r="C26" s="15"/>
      <c r="D26" s="15"/>
      <c r="F26" s="6" t="s">
        <v>19</v>
      </c>
      <c r="G26" s="35">
        <v>0</v>
      </c>
      <c r="H26" s="35">
        <v>2</v>
      </c>
      <c r="I26" s="35">
        <v>4</v>
      </c>
      <c r="J26" s="35">
        <v>2</v>
      </c>
      <c r="K26" s="35">
        <v>0</v>
      </c>
      <c r="L26" s="35">
        <v>0</v>
      </c>
      <c r="M26">
        <f>SUM(G26:L26)</f>
        <v>8</v>
      </c>
      <c r="N26" s="27" t="s">
        <v>41</v>
      </c>
      <c r="O26" s="24"/>
      <c r="P26" s="7">
        <v>8</v>
      </c>
      <c r="R26" s="21"/>
      <c r="S26" s="15"/>
      <c r="T26" s="15"/>
      <c r="U26" s="15"/>
    </row>
    <row r="27" spans="3:21" ht="15.75" customHeight="1" thickTop="1" x14ac:dyDescent="0.25">
      <c r="C27" s="15"/>
      <c r="D27" s="15"/>
      <c r="E27" s="15"/>
      <c r="F27" s="6" t="s">
        <v>40</v>
      </c>
      <c r="G27" s="36">
        <f>SUM(G23:G26)</f>
        <v>3</v>
      </c>
      <c r="H27" s="36">
        <f t="shared" ref="H27:L27" si="0">SUM(H23:H26)</f>
        <v>3</v>
      </c>
      <c r="I27" s="36">
        <f t="shared" si="0"/>
        <v>6</v>
      </c>
      <c r="J27" s="36">
        <f t="shared" si="0"/>
        <v>2</v>
      </c>
      <c r="K27" s="36">
        <f t="shared" si="0"/>
        <v>1</v>
      </c>
      <c r="L27" s="36">
        <f t="shared" si="0"/>
        <v>2</v>
      </c>
      <c r="M27" s="22"/>
      <c r="N27" s="22"/>
      <c r="P27" s="22"/>
      <c r="Q27" s="15"/>
      <c r="R27" s="37"/>
      <c r="S27" s="15"/>
      <c r="T27" s="15"/>
      <c r="U27" s="15"/>
    </row>
    <row r="28" spans="3:21" ht="15.75" customHeight="1" x14ac:dyDescent="0.25">
      <c r="C28" s="15"/>
      <c r="D28" s="15"/>
      <c r="E28" s="15"/>
      <c r="K28" s="15"/>
      <c r="L28" s="22"/>
      <c r="M28" s="38" t="s">
        <v>43</v>
      </c>
      <c r="N28" s="38">
        <f>SUMPRODUCT(G11:L14,G23:L26)</f>
        <v>103</v>
      </c>
      <c r="O28" s="15"/>
      <c r="P28" s="15"/>
      <c r="Q28" s="15"/>
      <c r="R28" s="15"/>
      <c r="S28" s="15"/>
      <c r="T28" s="15"/>
      <c r="U28" s="15"/>
    </row>
    <row r="29" spans="3:21" ht="15.75" customHeight="1" x14ac:dyDescent="0.25">
      <c r="C29" s="15"/>
      <c r="D29" s="15"/>
      <c r="E29" s="15"/>
      <c r="F29" s="15"/>
      <c r="G29" s="27" t="s">
        <v>41</v>
      </c>
      <c r="H29" s="27" t="s">
        <v>41</v>
      </c>
      <c r="I29" s="27" t="s">
        <v>41</v>
      </c>
      <c r="J29" s="27" t="s">
        <v>41</v>
      </c>
      <c r="K29" s="27" t="s">
        <v>41</v>
      </c>
      <c r="L29" s="27" t="s">
        <v>41</v>
      </c>
      <c r="M29" s="15"/>
      <c r="N29" s="15"/>
      <c r="O29" s="15"/>
      <c r="P29" s="15"/>
      <c r="Q29" s="15"/>
      <c r="R29" s="15"/>
      <c r="S29" s="15"/>
      <c r="T29" s="15"/>
      <c r="U29" s="15"/>
    </row>
    <row r="30" spans="3:21" ht="15.75" customHeight="1" thickBot="1" x14ac:dyDescent="0.3">
      <c r="C30" s="15"/>
      <c r="D30" s="15"/>
      <c r="E30" s="15"/>
      <c r="F30" s="7" t="s">
        <v>14</v>
      </c>
      <c r="G30" s="7">
        <v>3</v>
      </c>
      <c r="H30" s="7">
        <v>3</v>
      </c>
      <c r="I30" s="7">
        <v>6</v>
      </c>
      <c r="J30" s="7">
        <v>2</v>
      </c>
      <c r="K30" s="7">
        <v>1</v>
      </c>
      <c r="L30" s="7">
        <v>2</v>
      </c>
      <c r="M30" s="15"/>
      <c r="N30" s="15"/>
      <c r="O30" s="15"/>
      <c r="P30" s="15"/>
      <c r="Q30" s="15"/>
      <c r="R30" s="15"/>
      <c r="S30" s="15"/>
      <c r="T30" s="15"/>
      <c r="U30" s="15"/>
    </row>
    <row r="31" spans="3:21" ht="15.75" customHeight="1" thickTop="1" x14ac:dyDescent="0.25">
      <c r="C31" s="15"/>
      <c r="D31" s="15"/>
      <c r="E31" s="15"/>
      <c r="F31" s="21"/>
      <c r="G31" s="21"/>
      <c r="H31" s="21"/>
      <c r="I31" s="21"/>
      <c r="J31" s="21"/>
      <c r="K31" s="21"/>
      <c r="L31" s="21"/>
      <c r="M31" s="15"/>
      <c r="N31" s="15"/>
      <c r="O31" s="15"/>
      <c r="P31" s="15"/>
      <c r="Q31" s="15"/>
      <c r="R31" s="15"/>
      <c r="S31" s="15"/>
      <c r="T31" s="15"/>
      <c r="U31" s="15"/>
    </row>
    <row r="32" spans="3:21" ht="15.75" customHeight="1" x14ac:dyDescent="0.25"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</row>
    <row r="33" spans="3:21" ht="15.75" customHeight="1" x14ac:dyDescent="0.25"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</row>
    <row r="34" spans="3:21" ht="15.75" customHeight="1" x14ac:dyDescent="0.25"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</row>
    <row r="35" spans="3:21" ht="15.75" customHeight="1" x14ac:dyDescent="0.25"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</row>
    <row r="36" spans="3:21" ht="15.75" customHeight="1" x14ac:dyDescent="0.25"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</row>
    <row r="37" spans="3:21" ht="15.75" customHeight="1" x14ac:dyDescent="0.25"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</row>
    <row r="38" spans="3:21" ht="15.75" customHeight="1" x14ac:dyDescent="0.25"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</row>
    <row r="39" spans="3:21" ht="15.75" customHeight="1" x14ac:dyDescent="0.25"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</row>
    <row r="40" spans="3:21" ht="15.75" customHeight="1" x14ac:dyDescent="0.25"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</row>
    <row r="41" spans="3:21" ht="15.75" customHeight="1" x14ac:dyDescent="0.25"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</row>
    <row r="42" spans="3:21" ht="15.75" customHeight="1" x14ac:dyDescent="0.25"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</row>
    <row r="43" spans="3:21" ht="15.75" customHeight="1" x14ac:dyDescent="0.25"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</row>
    <row r="44" spans="3:21" ht="15.75" customHeight="1" x14ac:dyDescent="0.25"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</row>
    <row r="45" spans="3:21" ht="15.75" customHeight="1" x14ac:dyDescent="0.25"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</row>
    <row r="46" spans="3:21" ht="15.75" customHeight="1" x14ac:dyDescent="0.25"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</row>
    <row r="47" spans="3:21" ht="15.75" customHeight="1" x14ac:dyDescent="0.25"/>
    <row r="48" spans="3:21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D18:E18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00"/>
  <sheetViews>
    <sheetView zoomScale="88" workbookViewId="0">
      <selection activeCell="L26" sqref="L26"/>
    </sheetView>
  </sheetViews>
  <sheetFormatPr defaultColWidth="14.42578125" defaultRowHeight="15" customHeight="1" x14ac:dyDescent="0.25"/>
  <cols>
    <col min="1" max="1" width="37" customWidth="1"/>
    <col min="2" max="10" width="8.7109375" customWidth="1"/>
    <col min="11" max="11" width="10.42578125" customWidth="1"/>
    <col min="12" max="26" width="8.7109375" customWidth="1"/>
  </cols>
  <sheetData>
    <row r="1" spans="1:21" ht="26.25" x14ac:dyDescent="0.4">
      <c r="G1" s="1" t="s">
        <v>0</v>
      </c>
    </row>
    <row r="2" spans="1:21" ht="26.25" x14ac:dyDescent="0.4">
      <c r="G2" s="1" t="s">
        <v>1</v>
      </c>
    </row>
    <row r="4" spans="1:21" ht="18.75" x14ac:dyDescent="0.3">
      <c r="A4" s="2" t="s">
        <v>44</v>
      </c>
    </row>
    <row r="5" spans="1:21" ht="18.75" x14ac:dyDescent="0.3">
      <c r="A5" s="2" t="s">
        <v>45</v>
      </c>
    </row>
    <row r="6" spans="1:21" ht="18.75" x14ac:dyDescent="0.3">
      <c r="A6" s="2" t="s">
        <v>46</v>
      </c>
    </row>
    <row r="8" spans="1:21" ht="15.75" x14ac:dyDescent="0.25">
      <c r="A8" s="3" t="s">
        <v>24</v>
      </c>
    </row>
    <row r="9" spans="1:21" x14ac:dyDescent="0.25">
      <c r="D9" s="4" t="s">
        <v>3</v>
      </c>
      <c r="H9" s="5" t="s">
        <v>4</v>
      </c>
    </row>
    <row r="10" spans="1:21" x14ac:dyDescent="0.25">
      <c r="F10" s="6"/>
      <c r="G10" s="6" t="s">
        <v>5</v>
      </c>
      <c r="H10" s="6" t="s">
        <v>6</v>
      </c>
      <c r="I10" s="6" t="s">
        <v>7</v>
      </c>
      <c r="J10" s="6" t="s">
        <v>8</v>
      </c>
      <c r="K10" s="7" t="s">
        <v>9</v>
      </c>
    </row>
    <row r="11" spans="1:21" x14ac:dyDescent="0.25">
      <c r="F11" s="6" t="s">
        <v>10</v>
      </c>
      <c r="G11" s="8">
        <v>4</v>
      </c>
      <c r="H11" s="8">
        <v>3</v>
      </c>
      <c r="I11" s="8">
        <v>2</v>
      </c>
      <c r="J11" s="8">
        <v>0</v>
      </c>
      <c r="K11" s="7">
        <v>10</v>
      </c>
      <c r="L11" s="11"/>
    </row>
    <row r="12" spans="1:21" x14ac:dyDescent="0.25">
      <c r="E12" s="5" t="s">
        <v>11</v>
      </c>
      <c r="F12" s="6" t="s">
        <v>12</v>
      </c>
      <c r="G12" s="8">
        <v>1</v>
      </c>
      <c r="H12" s="8">
        <v>5</v>
      </c>
      <c r="I12" s="8">
        <v>0</v>
      </c>
      <c r="J12" s="8">
        <v>0</v>
      </c>
      <c r="K12" s="7">
        <v>13</v>
      </c>
      <c r="M12" s="14" t="s">
        <v>39</v>
      </c>
    </row>
    <row r="13" spans="1:21" x14ac:dyDescent="0.25">
      <c r="F13" s="6" t="s">
        <v>13</v>
      </c>
      <c r="G13" s="8">
        <v>3</v>
      </c>
      <c r="H13" s="8">
        <v>8</v>
      </c>
      <c r="I13" s="8">
        <v>6</v>
      </c>
      <c r="J13" s="8">
        <v>0</v>
      </c>
      <c r="K13" s="7">
        <v>12</v>
      </c>
      <c r="M13" s="14" t="s">
        <v>9</v>
      </c>
      <c r="N13" s="9">
        <f>SUM(K11:K13)</f>
        <v>35</v>
      </c>
    </row>
    <row r="14" spans="1:21" x14ac:dyDescent="0.25">
      <c r="F14" s="7" t="s">
        <v>14</v>
      </c>
      <c r="G14" s="7">
        <v>8</v>
      </c>
      <c r="H14" s="7">
        <v>5</v>
      </c>
      <c r="I14" s="7">
        <v>4</v>
      </c>
      <c r="J14" s="7">
        <v>18</v>
      </c>
      <c r="M14" s="14" t="s">
        <v>14</v>
      </c>
      <c r="N14" s="9">
        <f>SUM(G14:J14)</f>
        <v>35</v>
      </c>
    </row>
    <row r="16" spans="1:21" ht="15" customHeight="1" thickBot="1" x14ac:dyDescent="0.3"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</row>
    <row r="17" spans="3:21" ht="16.5" thickTop="1" thickBot="1" x14ac:dyDescent="0.3">
      <c r="C17" s="15"/>
      <c r="D17" s="28" t="s">
        <v>42</v>
      </c>
      <c r="E17" s="28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</row>
    <row r="18" spans="3:21" ht="15" customHeight="1" thickTop="1" x14ac:dyDescent="0.25"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</row>
    <row r="19" spans="3:21" x14ac:dyDescent="0.25">
      <c r="C19" s="15"/>
      <c r="D19" s="15"/>
      <c r="E19" s="15"/>
      <c r="F19" s="15"/>
      <c r="G19" s="15"/>
      <c r="H19" s="17"/>
      <c r="I19" s="15"/>
      <c r="J19" s="15"/>
      <c r="K19" s="15"/>
      <c r="L19" s="22"/>
      <c r="M19" s="22"/>
      <c r="N19" s="15"/>
      <c r="O19" s="15"/>
      <c r="P19" s="15"/>
      <c r="Q19" s="15"/>
      <c r="R19" s="15"/>
      <c r="S19" s="15"/>
      <c r="T19" s="15"/>
      <c r="U19" s="15"/>
    </row>
    <row r="20" spans="3:21" x14ac:dyDescent="0.25">
      <c r="C20" s="15"/>
      <c r="D20" s="15"/>
      <c r="H20" s="5" t="s">
        <v>4</v>
      </c>
      <c r="M20" s="22"/>
      <c r="O20" s="15"/>
      <c r="P20" s="15"/>
      <c r="Q20" s="15"/>
      <c r="R20" s="15"/>
      <c r="S20" s="15"/>
      <c r="T20" s="15"/>
      <c r="U20" s="15"/>
    </row>
    <row r="21" spans="3:21" ht="15.75" customHeight="1" thickBot="1" x14ac:dyDescent="0.3">
      <c r="C21" s="15"/>
      <c r="D21" s="15"/>
      <c r="F21" s="6"/>
      <c r="G21" s="6" t="s">
        <v>5</v>
      </c>
      <c r="H21" s="6" t="s">
        <v>6</v>
      </c>
      <c r="I21" s="6" t="s">
        <v>7</v>
      </c>
      <c r="J21" s="6" t="s">
        <v>8</v>
      </c>
      <c r="K21" s="25" t="s">
        <v>40</v>
      </c>
      <c r="L21" s="27" t="s">
        <v>41</v>
      </c>
      <c r="M21" s="18"/>
      <c r="N21" s="7" t="s">
        <v>9</v>
      </c>
      <c r="O21" s="15"/>
      <c r="P21" s="15"/>
      <c r="Q21" s="15"/>
      <c r="R21" s="15"/>
      <c r="S21" s="15"/>
      <c r="T21" s="15"/>
      <c r="U21" s="15"/>
    </row>
    <row r="22" spans="3:21" ht="15.75" customHeight="1" thickTop="1" thickBot="1" x14ac:dyDescent="0.3">
      <c r="C22" s="15"/>
      <c r="D22" s="15"/>
      <c r="F22" s="6" t="s">
        <v>10</v>
      </c>
      <c r="G22" s="8">
        <v>0</v>
      </c>
      <c r="H22" s="8">
        <v>5</v>
      </c>
      <c r="I22" s="8">
        <v>0</v>
      </c>
      <c r="J22" s="8">
        <v>5</v>
      </c>
      <c r="K22">
        <f>SUM(G22:J22)</f>
        <v>10</v>
      </c>
      <c r="L22" s="27" t="s">
        <v>41</v>
      </c>
      <c r="M22" s="18"/>
      <c r="N22" s="7">
        <v>10</v>
      </c>
      <c r="O22" s="15"/>
      <c r="P22" s="15"/>
      <c r="Q22" s="15"/>
      <c r="R22" s="15"/>
      <c r="S22" s="15"/>
      <c r="T22" s="15"/>
      <c r="U22" s="15"/>
    </row>
    <row r="23" spans="3:21" ht="15.75" customHeight="1" thickTop="1" thickBot="1" x14ac:dyDescent="0.3">
      <c r="C23" s="15"/>
      <c r="D23" s="15"/>
      <c r="E23" s="5" t="s">
        <v>11</v>
      </c>
      <c r="F23" s="6" t="s">
        <v>12</v>
      </c>
      <c r="G23" s="8">
        <v>8</v>
      </c>
      <c r="H23" s="8">
        <v>0</v>
      </c>
      <c r="I23" s="8">
        <v>4</v>
      </c>
      <c r="J23" s="8">
        <v>1</v>
      </c>
      <c r="K23">
        <f t="shared" ref="K23:K24" si="0">SUM(G23:J23)</f>
        <v>13</v>
      </c>
      <c r="L23" s="27" t="s">
        <v>41</v>
      </c>
      <c r="M23" s="18"/>
      <c r="N23" s="7">
        <v>13</v>
      </c>
      <c r="O23" s="15"/>
      <c r="P23" s="15"/>
      <c r="Q23" s="15"/>
      <c r="R23" s="15"/>
      <c r="S23" s="15"/>
      <c r="T23" s="15"/>
      <c r="U23" s="15"/>
    </row>
    <row r="24" spans="3:21" ht="15.75" customHeight="1" thickTop="1" thickBot="1" x14ac:dyDescent="0.3">
      <c r="C24" s="15"/>
      <c r="D24" s="15"/>
      <c r="F24" s="6" t="s">
        <v>13</v>
      </c>
      <c r="G24" s="8">
        <v>0</v>
      </c>
      <c r="H24" s="8">
        <v>0</v>
      </c>
      <c r="I24" s="8">
        <v>0</v>
      </c>
      <c r="J24" s="8">
        <v>12</v>
      </c>
      <c r="K24">
        <f t="shared" si="0"/>
        <v>12</v>
      </c>
      <c r="L24" s="27" t="s">
        <v>41</v>
      </c>
      <c r="M24" s="18"/>
      <c r="N24" s="7">
        <v>12</v>
      </c>
      <c r="O24" s="15"/>
      <c r="P24" s="15"/>
      <c r="Q24" s="15"/>
      <c r="R24" s="15"/>
      <c r="S24" s="15"/>
      <c r="T24" s="15"/>
      <c r="U24" s="15"/>
    </row>
    <row r="25" spans="3:21" ht="15.75" customHeight="1" thickTop="1" x14ac:dyDescent="0.25">
      <c r="C25" s="15"/>
      <c r="D25" s="15"/>
      <c r="F25" s="6" t="s">
        <v>40</v>
      </c>
      <c r="G25">
        <f>SUM(G22:G24)</f>
        <v>8</v>
      </c>
      <c r="H25">
        <f t="shared" ref="H25:J25" si="1">SUM(H22:H24)</f>
        <v>5</v>
      </c>
      <c r="I25">
        <f t="shared" si="1"/>
        <v>4</v>
      </c>
      <c r="J25">
        <f t="shared" si="1"/>
        <v>18</v>
      </c>
      <c r="L25" s="22"/>
      <c r="M25" s="24"/>
      <c r="O25" s="15"/>
      <c r="P25" s="15"/>
      <c r="Q25" s="15"/>
      <c r="R25" s="15"/>
      <c r="S25" s="15"/>
      <c r="T25" s="15"/>
      <c r="U25" s="15"/>
    </row>
    <row r="26" spans="3:21" ht="15.75" customHeight="1" x14ac:dyDescent="0.25">
      <c r="C26" s="15"/>
      <c r="D26" s="15"/>
      <c r="E26" s="15"/>
      <c r="F26" s="19"/>
      <c r="G26" s="19"/>
      <c r="H26" s="19"/>
      <c r="I26" s="19"/>
      <c r="J26" s="19"/>
      <c r="K26" s="29" t="s">
        <v>43</v>
      </c>
      <c r="L26" s="29">
        <f>SUMPRODUCT(G11:J13,G22:J24)</f>
        <v>23</v>
      </c>
      <c r="M26" s="22"/>
      <c r="N26" s="15"/>
      <c r="O26" s="15"/>
      <c r="P26" s="15"/>
      <c r="Q26" s="15"/>
      <c r="R26" s="15"/>
      <c r="S26" s="15"/>
      <c r="T26" s="15"/>
      <c r="U26" s="15"/>
    </row>
    <row r="27" spans="3:21" ht="15.75" customHeight="1" x14ac:dyDescent="0.25">
      <c r="C27" s="15"/>
      <c r="D27" s="15"/>
      <c r="E27" s="15"/>
      <c r="F27" s="15"/>
      <c r="G27" s="27" t="s">
        <v>41</v>
      </c>
      <c r="H27" s="27" t="s">
        <v>41</v>
      </c>
      <c r="I27" s="27" t="s">
        <v>41</v>
      </c>
      <c r="J27" s="27" t="s">
        <v>41</v>
      </c>
      <c r="K27" s="15"/>
      <c r="L27" s="22"/>
      <c r="M27" s="22"/>
      <c r="N27" s="15"/>
      <c r="O27" s="15"/>
      <c r="P27" s="15"/>
      <c r="Q27" s="15"/>
      <c r="R27" s="15"/>
      <c r="S27" s="15"/>
      <c r="T27" s="15"/>
      <c r="U27" s="15"/>
    </row>
    <row r="28" spans="3:21" ht="15.75" customHeight="1" thickBot="1" x14ac:dyDescent="0.3">
      <c r="C28" s="15"/>
      <c r="D28" s="15"/>
      <c r="E28" s="15"/>
      <c r="F28" s="7" t="s">
        <v>14</v>
      </c>
      <c r="G28" s="7">
        <v>8</v>
      </c>
      <c r="H28" s="7">
        <v>5</v>
      </c>
      <c r="I28" s="7">
        <v>4</v>
      </c>
      <c r="J28" s="7">
        <v>18</v>
      </c>
      <c r="L28" s="15"/>
      <c r="M28" s="15"/>
      <c r="N28" s="15"/>
      <c r="O28" s="15"/>
      <c r="P28" s="15"/>
      <c r="Q28" s="15"/>
      <c r="R28" s="15"/>
      <c r="S28" s="15"/>
      <c r="T28" s="15"/>
      <c r="U28" s="15"/>
    </row>
    <row r="29" spans="3:21" ht="15.75" customHeight="1" thickTop="1" x14ac:dyDescent="0.25"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</row>
    <row r="30" spans="3:21" ht="15.75" customHeight="1" x14ac:dyDescent="0.25"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</row>
    <row r="31" spans="3:21" ht="15.75" customHeight="1" x14ac:dyDescent="0.25"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</row>
    <row r="32" spans="3:21" ht="15.75" customHeight="1" x14ac:dyDescent="0.25"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</row>
    <row r="33" spans="3:21" ht="15.75" customHeight="1" x14ac:dyDescent="0.25"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</row>
    <row r="34" spans="3:21" ht="15.75" customHeight="1" x14ac:dyDescent="0.25"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</row>
    <row r="35" spans="3:21" ht="15.75" customHeight="1" x14ac:dyDescent="0.25"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</row>
    <row r="36" spans="3:21" ht="15.75" customHeight="1" x14ac:dyDescent="0.25"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</row>
    <row r="37" spans="3:21" ht="15.75" customHeight="1" x14ac:dyDescent="0.25"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</row>
    <row r="38" spans="3:21" ht="15.75" customHeight="1" x14ac:dyDescent="0.25"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</row>
    <row r="39" spans="3:21" ht="15.75" customHeight="1" x14ac:dyDescent="0.25"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</row>
    <row r="40" spans="3:21" ht="15.75" customHeight="1" x14ac:dyDescent="0.25"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</row>
    <row r="41" spans="3:21" ht="15.75" customHeight="1" x14ac:dyDescent="0.25"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</row>
    <row r="42" spans="3:21" ht="15.75" customHeight="1" x14ac:dyDescent="0.25"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</row>
    <row r="43" spans="3:21" ht="15.75" customHeight="1" x14ac:dyDescent="0.25"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</row>
    <row r="44" spans="3:21" ht="15.75" customHeight="1" x14ac:dyDescent="0.25"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</row>
    <row r="45" spans="3:21" ht="15.75" customHeight="1" x14ac:dyDescent="0.25"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</row>
    <row r="46" spans="3:21" ht="15.75" customHeight="1" x14ac:dyDescent="0.25"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</row>
    <row r="47" spans="3:21" ht="15.75" customHeight="1" x14ac:dyDescent="0.25"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</row>
    <row r="48" spans="3:21" ht="15.75" customHeight="1" x14ac:dyDescent="0.25"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</row>
    <row r="49" spans="3:21" ht="15.75" customHeight="1" x14ac:dyDescent="0.25"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</row>
    <row r="50" spans="3:21" ht="15.75" customHeight="1" x14ac:dyDescent="0.25"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</row>
    <row r="51" spans="3:21" ht="15.75" customHeight="1" x14ac:dyDescent="0.25"/>
    <row r="52" spans="3:21" ht="15.75" customHeight="1" x14ac:dyDescent="0.25"/>
    <row r="53" spans="3:21" ht="15.75" customHeight="1" x14ac:dyDescent="0.25"/>
    <row r="54" spans="3:21" ht="15.75" customHeight="1" x14ac:dyDescent="0.25"/>
    <row r="55" spans="3:21" ht="15.75" customHeight="1" x14ac:dyDescent="0.25"/>
    <row r="56" spans="3:21" ht="15.75" customHeight="1" x14ac:dyDescent="0.25"/>
    <row r="57" spans="3:21" ht="15.75" customHeight="1" x14ac:dyDescent="0.25"/>
    <row r="58" spans="3:21" ht="15.75" customHeight="1" x14ac:dyDescent="0.25"/>
    <row r="59" spans="3:21" ht="15.75" customHeight="1" x14ac:dyDescent="0.25"/>
    <row r="60" spans="3:21" ht="15.75" customHeight="1" x14ac:dyDescent="0.25"/>
    <row r="61" spans="3:21" ht="15.75" customHeight="1" x14ac:dyDescent="0.25"/>
    <row r="62" spans="3:21" ht="15.75" customHeight="1" x14ac:dyDescent="0.25"/>
    <row r="63" spans="3:21" ht="15.75" customHeight="1" x14ac:dyDescent="0.25"/>
    <row r="64" spans="3:21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D17:E17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00"/>
  <sheetViews>
    <sheetView workbookViewId="0">
      <selection activeCell="L26" sqref="L26"/>
    </sheetView>
  </sheetViews>
  <sheetFormatPr defaultColWidth="14.42578125" defaultRowHeight="15" customHeight="1" x14ac:dyDescent="0.25"/>
  <cols>
    <col min="1" max="1" width="36" customWidth="1"/>
    <col min="2" max="10" width="8.7109375" customWidth="1"/>
    <col min="11" max="11" width="11.28515625" customWidth="1"/>
    <col min="12" max="26" width="8.7109375" customWidth="1"/>
  </cols>
  <sheetData>
    <row r="1" spans="1:18" ht="26.25" x14ac:dyDescent="0.4">
      <c r="G1" s="1" t="s">
        <v>0</v>
      </c>
    </row>
    <row r="2" spans="1:18" ht="26.25" x14ac:dyDescent="0.4">
      <c r="G2" s="1" t="s">
        <v>1</v>
      </c>
    </row>
    <row r="4" spans="1:18" ht="18.75" x14ac:dyDescent="0.3">
      <c r="A4" s="2" t="s">
        <v>44</v>
      </c>
    </row>
    <row r="5" spans="1:18" ht="18.75" x14ac:dyDescent="0.3">
      <c r="A5" s="2" t="s">
        <v>45</v>
      </c>
    </row>
    <row r="6" spans="1:18" ht="18.75" x14ac:dyDescent="0.3">
      <c r="A6" s="2" t="s">
        <v>46</v>
      </c>
    </row>
    <row r="8" spans="1:18" ht="15.75" x14ac:dyDescent="0.25">
      <c r="A8" s="3" t="s">
        <v>25</v>
      </c>
    </row>
    <row r="9" spans="1:18" x14ac:dyDescent="0.25">
      <c r="D9" s="4" t="s">
        <v>3</v>
      </c>
      <c r="H9" s="5" t="s">
        <v>4</v>
      </c>
    </row>
    <row r="10" spans="1:18" x14ac:dyDescent="0.25">
      <c r="F10" s="6"/>
      <c r="G10" s="6" t="s">
        <v>5</v>
      </c>
      <c r="H10" s="6" t="s">
        <v>6</v>
      </c>
      <c r="I10" s="6" t="s">
        <v>7</v>
      </c>
      <c r="J10" s="6" t="s">
        <v>8</v>
      </c>
      <c r="K10" s="7" t="s">
        <v>9</v>
      </c>
    </row>
    <row r="11" spans="1:18" x14ac:dyDescent="0.25">
      <c r="F11" s="6" t="s">
        <v>10</v>
      </c>
      <c r="G11" s="8">
        <v>4</v>
      </c>
      <c r="H11" s="8">
        <v>3</v>
      </c>
      <c r="I11" s="8">
        <v>0</v>
      </c>
      <c r="J11" s="8">
        <v>5</v>
      </c>
      <c r="K11" s="7">
        <v>24</v>
      </c>
      <c r="L11" s="11"/>
    </row>
    <row r="12" spans="1:18" x14ac:dyDescent="0.25">
      <c r="E12" s="5" t="s">
        <v>11</v>
      </c>
      <c r="F12" s="6" t="s">
        <v>12</v>
      </c>
      <c r="G12" s="8">
        <v>1</v>
      </c>
      <c r="H12" s="8">
        <v>2</v>
      </c>
      <c r="I12" s="8">
        <v>6</v>
      </c>
      <c r="J12" s="8">
        <v>1</v>
      </c>
      <c r="K12" s="7">
        <v>17</v>
      </c>
      <c r="M12" s="14" t="s">
        <v>39</v>
      </c>
    </row>
    <row r="13" spans="1:18" x14ac:dyDescent="0.25">
      <c r="F13" s="6" t="s">
        <v>13</v>
      </c>
      <c r="G13" s="8">
        <v>3</v>
      </c>
      <c r="H13" s="8">
        <v>6</v>
      </c>
      <c r="I13" s="8">
        <v>2</v>
      </c>
      <c r="J13" s="8">
        <v>3</v>
      </c>
      <c r="K13" s="7">
        <v>19</v>
      </c>
      <c r="M13" s="14" t="s">
        <v>9</v>
      </c>
      <c r="N13" s="9">
        <f>SUM(K11:K13)</f>
        <v>60</v>
      </c>
    </row>
    <row r="14" spans="1:18" x14ac:dyDescent="0.25">
      <c r="F14" s="7" t="s">
        <v>14</v>
      </c>
      <c r="G14" s="7">
        <v>15</v>
      </c>
      <c r="H14" s="7">
        <v>19</v>
      </c>
      <c r="I14" s="7">
        <v>18</v>
      </c>
      <c r="J14" s="7">
        <v>8</v>
      </c>
      <c r="M14" s="14" t="s">
        <v>14</v>
      </c>
      <c r="N14" s="9">
        <f>SUM(G14:J14)</f>
        <v>60</v>
      </c>
    </row>
    <row r="15" spans="1:18" ht="15" customHeight="1" x14ac:dyDescent="0.25"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</row>
    <row r="16" spans="1:18" ht="15" customHeight="1" thickBot="1" x14ac:dyDescent="0.3"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</row>
    <row r="17" spans="3:18" ht="16.5" thickTop="1" thickBot="1" x14ac:dyDescent="0.3">
      <c r="C17" s="15"/>
      <c r="D17" s="28" t="s">
        <v>42</v>
      </c>
      <c r="E17" s="28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</row>
    <row r="18" spans="3:18" ht="15" customHeight="1" thickTop="1" x14ac:dyDescent="0.25"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</row>
    <row r="19" spans="3:18" x14ac:dyDescent="0.25">
      <c r="C19" s="15"/>
      <c r="D19" s="15"/>
      <c r="E19" s="15"/>
      <c r="F19" s="15"/>
      <c r="G19" s="15"/>
      <c r="H19" s="17"/>
      <c r="I19" s="15"/>
      <c r="J19" s="15"/>
      <c r="K19" s="15"/>
      <c r="L19" s="22"/>
      <c r="M19" s="22"/>
      <c r="N19" s="15"/>
      <c r="O19" s="15"/>
      <c r="P19" s="15"/>
      <c r="Q19" s="15"/>
      <c r="R19" s="15"/>
    </row>
    <row r="20" spans="3:18" x14ac:dyDescent="0.25">
      <c r="C20" s="15"/>
      <c r="D20" s="15"/>
      <c r="H20" s="5" t="s">
        <v>4</v>
      </c>
      <c r="M20" s="22"/>
      <c r="O20" s="15"/>
      <c r="P20" s="15"/>
      <c r="Q20" s="15"/>
      <c r="R20" s="15"/>
    </row>
    <row r="21" spans="3:18" ht="15.75" customHeight="1" thickBot="1" x14ac:dyDescent="0.3">
      <c r="C21" s="15"/>
      <c r="D21" s="15"/>
      <c r="F21" s="6"/>
      <c r="G21" s="6" t="s">
        <v>5</v>
      </c>
      <c r="H21" s="6" t="s">
        <v>6</v>
      </c>
      <c r="I21" s="6" t="s">
        <v>7</v>
      </c>
      <c r="J21" s="6" t="s">
        <v>8</v>
      </c>
      <c r="K21" s="25" t="s">
        <v>40</v>
      </c>
      <c r="L21" s="27" t="s">
        <v>41</v>
      </c>
      <c r="M21" s="18"/>
      <c r="N21" s="7" t="s">
        <v>9</v>
      </c>
      <c r="O21" s="15"/>
      <c r="P21" s="15"/>
      <c r="Q21" s="15"/>
      <c r="R21" s="15"/>
    </row>
    <row r="22" spans="3:18" ht="15.75" customHeight="1" thickTop="1" thickBot="1" x14ac:dyDescent="0.3">
      <c r="C22" s="15"/>
      <c r="D22" s="15"/>
      <c r="F22" s="6" t="s">
        <v>10</v>
      </c>
      <c r="G22" s="8">
        <v>0</v>
      </c>
      <c r="H22" s="8">
        <v>6</v>
      </c>
      <c r="I22" s="8">
        <v>18</v>
      </c>
      <c r="J22" s="8">
        <v>0</v>
      </c>
      <c r="K22">
        <f>SUM(G22:J22)</f>
        <v>24</v>
      </c>
      <c r="L22" s="27" t="s">
        <v>41</v>
      </c>
      <c r="M22" s="18"/>
      <c r="N22" s="7">
        <v>24</v>
      </c>
      <c r="O22" s="15"/>
      <c r="P22" s="15"/>
      <c r="Q22" s="15"/>
      <c r="R22" s="15"/>
    </row>
    <row r="23" spans="3:18" ht="15.75" customHeight="1" thickTop="1" thickBot="1" x14ac:dyDescent="0.3">
      <c r="C23" s="15"/>
      <c r="D23" s="15"/>
      <c r="E23" s="5" t="s">
        <v>11</v>
      </c>
      <c r="F23" s="6" t="s">
        <v>12</v>
      </c>
      <c r="G23" s="8">
        <v>4</v>
      </c>
      <c r="H23" s="8">
        <v>13</v>
      </c>
      <c r="I23" s="8">
        <v>0</v>
      </c>
      <c r="J23" s="8">
        <v>0</v>
      </c>
      <c r="K23">
        <f t="shared" ref="K23:K24" si="0">SUM(G23:J23)</f>
        <v>17</v>
      </c>
      <c r="L23" s="27" t="s">
        <v>41</v>
      </c>
      <c r="M23" s="18"/>
      <c r="N23" s="7">
        <v>17</v>
      </c>
      <c r="O23" s="15"/>
      <c r="P23" s="15"/>
      <c r="Q23" s="15"/>
      <c r="R23" s="15"/>
    </row>
    <row r="24" spans="3:18" ht="15.75" customHeight="1" thickTop="1" thickBot="1" x14ac:dyDescent="0.3">
      <c r="C24" s="15"/>
      <c r="D24" s="15"/>
      <c r="F24" s="6" t="s">
        <v>13</v>
      </c>
      <c r="G24" s="8">
        <v>11</v>
      </c>
      <c r="H24" s="8">
        <v>0</v>
      </c>
      <c r="I24" s="8">
        <v>0</v>
      </c>
      <c r="J24" s="8">
        <v>8</v>
      </c>
      <c r="K24">
        <f t="shared" si="0"/>
        <v>19</v>
      </c>
      <c r="L24" s="27" t="s">
        <v>41</v>
      </c>
      <c r="M24" s="18"/>
      <c r="N24" s="7">
        <v>19</v>
      </c>
      <c r="O24" s="15"/>
      <c r="P24" s="15"/>
      <c r="Q24" s="15"/>
      <c r="R24" s="15"/>
    </row>
    <row r="25" spans="3:18" ht="15.75" customHeight="1" thickTop="1" x14ac:dyDescent="0.25">
      <c r="C25" s="15"/>
      <c r="D25" s="15"/>
      <c r="F25" s="6" t="s">
        <v>40</v>
      </c>
      <c r="G25">
        <f>SUM(G22:G24)</f>
        <v>15</v>
      </c>
      <c r="H25">
        <f t="shared" ref="H25:J25" si="1">SUM(H22:H24)</f>
        <v>19</v>
      </c>
      <c r="I25">
        <f t="shared" si="1"/>
        <v>18</v>
      </c>
      <c r="J25">
        <f t="shared" si="1"/>
        <v>8</v>
      </c>
      <c r="L25" s="22"/>
      <c r="M25" s="24"/>
      <c r="O25" s="15"/>
      <c r="P25" s="15"/>
      <c r="Q25" s="15"/>
      <c r="R25" s="15"/>
    </row>
    <row r="26" spans="3:18" ht="15.75" customHeight="1" x14ac:dyDescent="0.25">
      <c r="C26" s="15"/>
      <c r="D26" s="15"/>
      <c r="E26" s="15"/>
      <c r="F26" s="19"/>
      <c r="G26" s="19"/>
      <c r="H26" s="19"/>
      <c r="I26" s="19"/>
      <c r="J26" s="19"/>
      <c r="K26" s="29" t="s">
        <v>43</v>
      </c>
      <c r="L26" s="29">
        <f>SUMPRODUCT(G11:J13,G22:J24)</f>
        <v>105</v>
      </c>
      <c r="M26" s="22"/>
      <c r="N26" s="15"/>
      <c r="O26" s="15"/>
      <c r="P26" s="15"/>
      <c r="Q26" s="15"/>
      <c r="R26" s="15"/>
    </row>
    <row r="27" spans="3:18" ht="15.75" customHeight="1" x14ac:dyDescent="0.25">
      <c r="C27" s="15"/>
      <c r="D27" s="15"/>
      <c r="E27" s="15"/>
      <c r="F27" s="15"/>
      <c r="G27" s="27" t="s">
        <v>41</v>
      </c>
      <c r="H27" s="27" t="s">
        <v>41</v>
      </c>
      <c r="I27" s="27" t="s">
        <v>41</v>
      </c>
      <c r="J27" s="27" t="s">
        <v>41</v>
      </c>
      <c r="K27" s="15"/>
      <c r="L27" s="22"/>
      <c r="M27" s="22"/>
      <c r="N27" s="15"/>
      <c r="O27" s="15"/>
      <c r="P27" s="15"/>
      <c r="Q27" s="15"/>
      <c r="R27" s="15"/>
    </row>
    <row r="28" spans="3:18" ht="15.75" customHeight="1" thickBot="1" x14ac:dyDescent="0.3">
      <c r="C28" s="15"/>
      <c r="D28" s="15"/>
      <c r="E28" s="15"/>
      <c r="F28" s="7" t="s">
        <v>14</v>
      </c>
      <c r="G28" s="7">
        <v>15</v>
      </c>
      <c r="H28" s="7">
        <v>19</v>
      </c>
      <c r="I28" s="7">
        <v>18</v>
      </c>
      <c r="J28" s="7">
        <v>8</v>
      </c>
      <c r="L28" s="15"/>
      <c r="M28" s="15"/>
      <c r="N28" s="15"/>
      <c r="O28" s="15"/>
      <c r="P28" s="15"/>
      <c r="Q28" s="15"/>
      <c r="R28" s="15"/>
    </row>
    <row r="29" spans="3:18" ht="15.75" customHeight="1" thickTop="1" x14ac:dyDescent="0.25">
      <c r="C29" s="15"/>
      <c r="D29" s="15"/>
      <c r="E29" s="15"/>
      <c r="F29" s="21"/>
      <c r="G29" s="21"/>
      <c r="H29" s="21"/>
      <c r="I29" s="21"/>
      <c r="J29" s="21"/>
      <c r="K29" s="15"/>
      <c r="L29" s="15"/>
      <c r="M29" s="15"/>
      <c r="N29" s="15"/>
      <c r="O29" s="15"/>
      <c r="P29" s="15"/>
      <c r="Q29" s="15"/>
      <c r="R29" s="15"/>
    </row>
    <row r="30" spans="3:18" ht="15.75" customHeight="1" x14ac:dyDescent="0.25">
      <c r="C30" s="15"/>
      <c r="D30" s="15"/>
      <c r="E30" s="15"/>
      <c r="F30" s="21"/>
      <c r="G30" s="21"/>
      <c r="H30" s="21"/>
      <c r="I30" s="21"/>
      <c r="J30" s="21"/>
      <c r="K30" s="15"/>
      <c r="L30" s="15"/>
      <c r="M30" s="15"/>
      <c r="N30" s="15"/>
      <c r="O30" s="15"/>
      <c r="P30" s="15"/>
      <c r="Q30" s="15"/>
      <c r="R30" s="15"/>
    </row>
    <row r="31" spans="3:18" ht="15.75" customHeight="1" x14ac:dyDescent="0.25">
      <c r="F31" s="14"/>
      <c r="G31" s="14"/>
      <c r="H31" s="14"/>
      <c r="I31" s="14"/>
      <c r="J31" s="14"/>
    </row>
    <row r="32" spans="3:18" ht="15.75" customHeight="1" x14ac:dyDescent="0.25">
      <c r="F32" s="14"/>
      <c r="G32" s="14"/>
      <c r="H32" s="14"/>
      <c r="I32" s="14"/>
      <c r="J32" s="14"/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D17:E17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00"/>
  <sheetViews>
    <sheetView zoomScale="74" workbookViewId="0">
      <selection activeCell="J23" sqref="J23"/>
    </sheetView>
  </sheetViews>
  <sheetFormatPr defaultColWidth="14.42578125" defaultRowHeight="15" customHeight="1" x14ac:dyDescent="0.25"/>
  <cols>
    <col min="1" max="1" width="36.42578125" customWidth="1"/>
    <col min="2" max="9" width="8.7109375" customWidth="1"/>
    <col min="10" max="10" width="11.5703125" customWidth="1"/>
    <col min="11" max="26" width="8.7109375" customWidth="1"/>
  </cols>
  <sheetData>
    <row r="1" spans="1:13" ht="26.25" x14ac:dyDescent="0.4">
      <c r="G1" s="1" t="s">
        <v>0</v>
      </c>
    </row>
    <row r="2" spans="1:13" ht="26.25" x14ac:dyDescent="0.4">
      <c r="G2" s="1" t="s">
        <v>1</v>
      </c>
    </row>
    <row r="4" spans="1:13" ht="18.75" x14ac:dyDescent="0.3">
      <c r="A4" s="2" t="s">
        <v>44</v>
      </c>
    </row>
    <row r="5" spans="1:13" ht="18.75" x14ac:dyDescent="0.3">
      <c r="A5" s="2" t="s">
        <v>45</v>
      </c>
    </row>
    <row r="6" spans="1:13" ht="18.75" x14ac:dyDescent="0.3">
      <c r="A6" s="2" t="s">
        <v>46</v>
      </c>
    </row>
    <row r="8" spans="1:13" ht="15.75" x14ac:dyDescent="0.25">
      <c r="A8" s="3" t="s">
        <v>26</v>
      </c>
    </row>
    <row r="9" spans="1:13" x14ac:dyDescent="0.25">
      <c r="D9" s="4" t="s">
        <v>3</v>
      </c>
      <c r="H9" s="5" t="s">
        <v>4</v>
      </c>
    </row>
    <row r="10" spans="1:13" x14ac:dyDescent="0.25">
      <c r="F10" s="6"/>
      <c r="G10" s="6" t="s">
        <v>5</v>
      </c>
      <c r="H10" s="6" t="s">
        <v>6</v>
      </c>
      <c r="I10" s="6" t="s">
        <v>7</v>
      </c>
      <c r="J10" s="7" t="s">
        <v>9</v>
      </c>
    </row>
    <row r="11" spans="1:13" x14ac:dyDescent="0.25">
      <c r="F11" s="6" t="s">
        <v>10</v>
      </c>
      <c r="G11" s="8">
        <v>2</v>
      </c>
      <c r="H11" s="8">
        <v>4</v>
      </c>
      <c r="I11" s="8">
        <v>1</v>
      </c>
      <c r="J11" s="7">
        <v>40</v>
      </c>
      <c r="K11" s="11"/>
    </row>
    <row r="12" spans="1:13" x14ac:dyDescent="0.25">
      <c r="E12" s="5" t="s">
        <v>11</v>
      </c>
      <c r="F12" s="6" t="s">
        <v>12</v>
      </c>
      <c r="G12" s="8">
        <v>6</v>
      </c>
      <c r="H12" s="8">
        <v>3</v>
      </c>
      <c r="I12" s="8">
        <v>2</v>
      </c>
      <c r="J12" s="7">
        <v>50</v>
      </c>
    </row>
    <row r="13" spans="1:13" x14ac:dyDescent="0.25">
      <c r="F13" s="6" t="s">
        <v>13</v>
      </c>
      <c r="G13" s="8">
        <v>4</v>
      </c>
      <c r="H13" s="8">
        <v>5</v>
      </c>
      <c r="I13" s="8">
        <v>6</v>
      </c>
      <c r="J13" s="7">
        <v>20</v>
      </c>
      <c r="L13" s="14" t="s">
        <v>39</v>
      </c>
    </row>
    <row r="14" spans="1:13" ht="16.5" thickTop="1" thickBot="1" x14ac:dyDescent="0.3">
      <c r="F14" s="6" t="s">
        <v>19</v>
      </c>
      <c r="G14" s="8">
        <v>3</v>
      </c>
      <c r="H14" s="8">
        <v>2</v>
      </c>
      <c r="I14" s="8">
        <v>1</v>
      </c>
      <c r="J14" s="7">
        <v>30</v>
      </c>
      <c r="L14" s="14" t="s">
        <v>9</v>
      </c>
      <c r="M14" s="9">
        <f>SUM(J11:J15)</f>
        <v>150</v>
      </c>
    </row>
    <row r="15" spans="1:13" ht="16.5" thickTop="1" thickBot="1" x14ac:dyDescent="0.3">
      <c r="F15" s="6" t="s">
        <v>27</v>
      </c>
      <c r="G15" s="8">
        <v>5</v>
      </c>
      <c r="H15" s="8">
        <v>2</v>
      </c>
      <c r="I15" s="8">
        <v>5</v>
      </c>
      <c r="J15" s="7">
        <v>10</v>
      </c>
      <c r="L15" s="14" t="s">
        <v>14</v>
      </c>
      <c r="M15" s="9">
        <f>SUM(G32:I32)</f>
        <v>150</v>
      </c>
    </row>
    <row r="16" spans="1:13" ht="16.5" thickTop="1" thickBot="1" x14ac:dyDescent="0.3">
      <c r="F16" s="7" t="s">
        <v>14</v>
      </c>
    </row>
    <row r="17" spans="4:15" ht="15" customHeight="1" thickTop="1" x14ac:dyDescent="0.25"/>
    <row r="18" spans="4:15" ht="15" customHeight="1" thickBot="1" x14ac:dyDescent="0.3"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</row>
    <row r="19" spans="4:15" ht="16.5" thickTop="1" thickBot="1" x14ac:dyDescent="0.3">
      <c r="D19" s="28" t="s">
        <v>42</v>
      </c>
      <c r="E19" s="28"/>
      <c r="F19" s="15"/>
      <c r="G19" s="15"/>
      <c r="H19" s="15"/>
      <c r="I19" s="15"/>
      <c r="J19" s="15"/>
      <c r="K19" s="15"/>
      <c r="L19" s="15"/>
      <c r="M19" s="15"/>
      <c r="N19" s="15"/>
      <c r="O19" s="15"/>
    </row>
    <row r="20" spans="4:15" ht="15" customHeight="1" thickTop="1" x14ac:dyDescent="0.25"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</row>
    <row r="21" spans="4:15" ht="15.75" customHeight="1" x14ac:dyDescent="0.25">
      <c r="D21" s="15"/>
      <c r="E21" s="15"/>
      <c r="F21" s="15"/>
      <c r="G21" s="15"/>
      <c r="H21" s="17"/>
      <c r="I21" s="15"/>
      <c r="J21" s="15"/>
      <c r="K21" s="15"/>
      <c r="L21" s="22"/>
      <c r="M21" s="22"/>
      <c r="N21" s="15"/>
      <c r="O21" s="15"/>
    </row>
    <row r="22" spans="4:15" ht="15.75" customHeight="1" x14ac:dyDescent="0.25">
      <c r="D22" s="15"/>
      <c r="H22" s="5" t="s">
        <v>4</v>
      </c>
      <c r="M22" s="22"/>
      <c r="N22" s="15"/>
      <c r="O22" s="15"/>
    </row>
    <row r="23" spans="4:15" ht="15.75" customHeight="1" thickBot="1" x14ac:dyDescent="0.3">
      <c r="D23" s="15"/>
      <c r="F23" s="6"/>
      <c r="G23" s="6" t="s">
        <v>5</v>
      </c>
      <c r="H23" s="6" t="s">
        <v>6</v>
      </c>
      <c r="I23" s="6" t="s">
        <v>7</v>
      </c>
      <c r="J23" s="25" t="s">
        <v>40</v>
      </c>
      <c r="K23" s="27" t="s">
        <v>41</v>
      </c>
      <c r="L23" s="18"/>
      <c r="M23" s="34" t="s">
        <v>9</v>
      </c>
      <c r="N23" s="15"/>
      <c r="O23" s="15"/>
    </row>
    <row r="24" spans="4:15" ht="15.75" customHeight="1" thickTop="1" thickBot="1" x14ac:dyDescent="0.3">
      <c r="D24" s="15"/>
      <c r="F24" s="6" t="s">
        <v>10</v>
      </c>
      <c r="G24" s="8">
        <v>30</v>
      </c>
      <c r="H24" s="8">
        <v>0</v>
      </c>
      <c r="I24" s="8">
        <v>10</v>
      </c>
      <c r="J24">
        <f>SUM(G24:I24)</f>
        <v>40</v>
      </c>
      <c r="K24" s="27" t="s">
        <v>41</v>
      </c>
      <c r="L24" s="18"/>
      <c r="M24" s="7">
        <v>40</v>
      </c>
      <c r="N24" s="15"/>
      <c r="O24" s="15"/>
    </row>
    <row r="25" spans="4:15" ht="15.75" customHeight="1" thickTop="1" thickBot="1" x14ac:dyDescent="0.3">
      <c r="D25" s="15"/>
      <c r="E25" s="5" t="s">
        <v>11</v>
      </c>
      <c r="F25" s="6" t="s">
        <v>12</v>
      </c>
      <c r="G25" s="8">
        <v>0</v>
      </c>
      <c r="H25" s="8">
        <v>50</v>
      </c>
      <c r="I25" s="8">
        <v>0</v>
      </c>
      <c r="J25">
        <f>SUM(G25:I25)</f>
        <v>50</v>
      </c>
      <c r="K25" s="27" t="s">
        <v>41</v>
      </c>
      <c r="L25" s="18"/>
      <c r="M25" s="7">
        <v>50</v>
      </c>
      <c r="N25" s="15"/>
      <c r="O25" s="15"/>
    </row>
    <row r="26" spans="4:15" ht="15.75" customHeight="1" thickTop="1" thickBot="1" x14ac:dyDescent="0.3">
      <c r="D26" s="15"/>
      <c r="F26" s="6" t="s">
        <v>13</v>
      </c>
      <c r="G26" s="8">
        <v>20</v>
      </c>
      <c r="H26" s="8">
        <v>0</v>
      </c>
      <c r="I26" s="8">
        <v>0</v>
      </c>
      <c r="J26">
        <f>SUM(G26:I26)</f>
        <v>20</v>
      </c>
      <c r="K26" s="27" t="s">
        <v>41</v>
      </c>
      <c r="L26" s="18"/>
      <c r="M26" s="7">
        <v>20</v>
      </c>
      <c r="N26" s="15"/>
      <c r="O26" s="15"/>
    </row>
    <row r="27" spans="4:15" ht="15.75" customHeight="1" thickTop="1" thickBot="1" x14ac:dyDescent="0.3">
      <c r="D27" s="15"/>
      <c r="F27" s="6" t="s">
        <v>19</v>
      </c>
      <c r="G27" s="8">
        <v>0</v>
      </c>
      <c r="H27" s="8">
        <v>0</v>
      </c>
      <c r="I27" s="8">
        <v>30</v>
      </c>
      <c r="J27">
        <f>SUM(G27:I27)</f>
        <v>30</v>
      </c>
      <c r="K27" s="27" t="s">
        <v>41</v>
      </c>
      <c r="L27" s="24"/>
      <c r="M27" s="7">
        <v>30</v>
      </c>
      <c r="N27" s="15"/>
      <c r="O27" s="15"/>
    </row>
    <row r="28" spans="4:15" ht="15.75" customHeight="1" thickTop="1" thickBot="1" x14ac:dyDescent="0.3">
      <c r="D28" s="15"/>
      <c r="F28" s="6" t="s">
        <v>27</v>
      </c>
      <c r="G28" s="8">
        <v>0</v>
      </c>
      <c r="H28" s="8">
        <v>10</v>
      </c>
      <c r="I28" s="8">
        <v>0</v>
      </c>
      <c r="J28">
        <f>SUM(G28:I28)</f>
        <v>10</v>
      </c>
      <c r="K28" s="27" t="s">
        <v>41</v>
      </c>
      <c r="L28" s="15"/>
      <c r="M28" s="7">
        <v>10</v>
      </c>
      <c r="N28" s="15"/>
      <c r="O28" s="15"/>
    </row>
    <row r="29" spans="4:15" ht="15.75" customHeight="1" thickTop="1" x14ac:dyDescent="0.25">
      <c r="D29" s="15"/>
      <c r="E29" s="15"/>
      <c r="F29" s="6" t="s">
        <v>40</v>
      </c>
      <c r="G29">
        <f>SUM(G24:G28)</f>
        <v>50</v>
      </c>
      <c r="H29">
        <f t="shared" ref="H29:I29" si="0">SUM(H24:H28)</f>
        <v>60</v>
      </c>
      <c r="I29">
        <f t="shared" si="0"/>
        <v>40</v>
      </c>
      <c r="L29" s="15"/>
      <c r="N29" s="15"/>
      <c r="O29" s="15"/>
    </row>
    <row r="30" spans="4:15" ht="15.75" customHeight="1" x14ac:dyDescent="0.25">
      <c r="D30" s="15"/>
      <c r="E30" s="15"/>
      <c r="F30" s="19"/>
      <c r="G30" s="19"/>
      <c r="H30" s="19"/>
      <c r="I30" s="19"/>
      <c r="J30" s="29" t="s">
        <v>43</v>
      </c>
      <c r="K30" s="29">
        <f>SUMPRODUCT(G11:I15,G24:I28)</f>
        <v>350</v>
      </c>
      <c r="L30" s="26"/>
      <c r="M30" s="24"/>
      <c r="N30" s="15"/>
      <c r="O30" s="15"/>
    </row>
    <row r="31" spans="4:15" ht="15.75" customHeight="1" x14ac:dyDescent="0.25">
      <c r="D31" s="15"/>
      <c r="E31" s="15"/>
      <c r="F31" s="15"/>
      <c r="G31" s="27" t="s">
        <v>41</v>
      </c>
      <c r="H31" s="27" t="s">
        <v>41</v>
      </c>
      <c r="I31" s="27" t="s">
        <v>41</v>
      </c>
      <c r="J31" s="26"/>
      <c r="K31" s="15"/>
      <c r="M31" s="22"/>
      <c r="N31" s="15"/>
      <c r="O31" s="15"/>
    </row>
    <row r="32" spans="4:15" ht="15.75" customHeight="1" thickBot="1" x14ac:dyDescent="0.3">
      <c r="D32" s="15"/>
      <c r="E32" s="15"/>
      <c r="F32" s="7" t="s">
        <v>14</v>
      </c>
      <c r="G32" s="7">
        <v>50</v>
      </c>
      <c r="H32" s="7">
        <v>60</v>
      </c>
      <c r="I32" s="7">
        <v>40</v>
      </c>
      <c r="J32" s="30"/>
      <c r="L32" s="22"/>
      <c r="M32" s="22"/>
      <c r="N32" s="15"/>
      <c r="O32" s="15"/>
    </row>
    <row r="33" spans="4:15" ht="15.75" customHeight="1" thickTop="1" x14ac:dyDescent="0.25">
      <c r="D33" s="15"/>
      <c r="E33" s="15"/>
      <c r="L33" s="15"/>
      <c r="M33" s="15"/>
      <c r="N33" s="15"/>
      <c r="O33" s="15"/>
    </row>
    <row r="34" spans="4:15" ht="15.75" customHeight="1" x14ac:dyDescent="0.25"/>
    <row r="35" spans="4:15" ht="15.75" customHeight="1" x14ac:dyDescent="0.25"/>
    <row r="36" spans="4:15" ht="15.75" customHeight="1" x14ac:dyDescent="0.25"/>
    <row r="37" spans="4:15" ht="15.75" customHeight="1" x14ac:dyDescent="0.25"/>
    <row r="38" spans="4:15" ht="15.75" customHeight="1" x14ac:dyDescent="0.25"/>
    <row r="39" spans="4:15" ht="15.75" customHeight="1" x14ac:dyDescent="0.25"/>
    <row r="40" spans="4:15" ht="15.75" customHeight="1" x14ac:dyDescent="0.25"/>
    <row r="41" spans="4:15" ht="15.75" customHeight="1" x14ac:dyDescent="0.25"/>
    <row r="42" spans="4:15" ht="15.75" customHeight="1" x14ac:dyDescent="0.25"/>
    <row r="43" spans="4:15" ht="15.75" customHeight="1" x14ac:dyDescent="0.25"/>
    <row r="44" spans="4:15" ht="15.75" customHeight="1" x14ac:dyDescent="0.25"/>
    <row r="45" spans="4:15" ht="15.75" customHeight="1" x14ac:dyDescent="0.25"/>
    <row r="46" spans="4:15" ht="15.75" customHeight="1" x14ac:dyDescent="0.25"/>
    <row r="47" spans="4:15" ht="15.75" customHeight="1" x14ac:dyDescent="0.25"/>
    <row r="48" spans="4:15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D19:E19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00"/>
  <sheetViews>
    <sheetView workbookViewId="0">
      <selection activeCell="D18" sqref="D18:O31"/>
    </sheetView>
  </sheetViews>
  <sheetFormatPr defaultColWidth="14.42578125" defaultRowHeight="15" customHeight="1" x14ac:dyDescent="0.25"/>
  <cols>
    <col min="1" max="1" width="37.140625" customWidth="1"/>
    <col min="2" max="25" width="8.7109375" customWidth="1"/>
  </cols>
  <sheetData>
    <row r="1" spans="1:14" ht="26.25" x14ac:dyDescent="0.4">
      <c r="G1" s="1" t="s">
        <v>0</v>
      </c>
    </row>
    <row r="2" spans="1:14" ht="26.25" x14ac:dyDescent="0.4">
      <c r="G2" s="1" t="s">
        <v>28</v>
      </c>
    </row>
    <row r="4" spans="1:14" ht="18.75" x14ac:dyDescent="0.3">
      <c r="A4" s="2" t="s">
        <v>44</v>
      </c>
    </row>
    <row r="5" spans="1:14" ht="18.75" x14ac:dyDescent="0.3">
      <c r="A5" s="2" t="s">
        <v>45</v>
      </c>
    </row>
    <row r="6" spans="1:14" ht="18.75" x14ac:dyDescent="0.3">
      <c r="A6" s="2" t="s">
        <v>46</v>
      </c>
    </row>
    <row r="8" spans="1:14" ht="15.75" x14ac:dyDescent="0.25">
      <c r="A8" s="3" t="s">
        <v>29</v>
      </c>
    </row>
    <row r="9" spans="1:14" x14ac:dyDescent="0.25">
      <c r="D9" s="4" t="s">
        <v>3</v>
      </c>
      <c r="H9" s="5" t="s">
        <v>34</v>
      </c>
    </row>
    <row r="10" spans="1:14" ht="15.75" thickTop="1" x14ac:dyDescent="0.25">
      <c r="F10" s="6"/>
      <c r="G10" s="6" t="s">
        <v>5</v>
      </c>
      <c r="H10" s="6" t="s">
        <v>6</v>
      </c>
      <c r="I10" s="6" t="s">
        <v>7</v>
      </c>
      <c r="J10" s="6" t="s">
        <v>8</v>
      </c>
      <c r="K10" s="6" t="s">
        <v>22</v>
      </c>
      <c r="L10" s="11"/>
    </row>
    <row r="11" spans="1:14" x14ac:dyDescent="0.25">
      <c r="F11" s="6" t="s">
        <v>10</v>
      </c>
      <c r="G11" s="8">
        <v>430</v>
      </c>
      <c r="H11" s="8">
        <v>440</v>
      </c>
      <c r="I11" s="8">
        <v>465</v>
      </c>
      <c r="J11" s="8">
        <v>480</v>
      </c>
      <c r="K11" s="8">
        <v>490</v>
      </c>
      <c r="L11" s="11"/>
      <c r="M11" s="11"/>
    </row>
    <row r="12" spans="1:14" x14ac:dyDescent="0.25">
      <c r="E12" s="5" t="s">
        <v>37</v>
      </c>
      <c r="F12" s="6" t="s">
        <v>12</v>
      </c>
      <c r="G12" s="8">
        <v>320</v>
      </c>
      <c r="H12" s="8">
        <v>340</v>
      </c>
      <c r="I12" s="8">
        <v>350</v>
      </c>
      <c r="J12" s="8">
        <v>375</v>
      </c>
      <c r="K12" s="8">
        <v>380</v>
      </c>
      <c r="L12" s="11"/>
    </row>
    <row r="13" spans="1:14" x14ac:dyDescent="0.25">
      <c r="F13" s="6" t="s">
        <v>13</v>
      </c>
      <c r="G13" s="8">
        <v>295</v>
      </c>
      <c r="H13" s="8">
        <v>300</v>
      </c>
      <c r="I13" s="8">
        <v>330</v>
      </c>
      <c r="J13" s="8">
        <v>320</v>
      </c>
      <c r="K13" s="8">
        <v>320</v>
      </c>
      <c r="L13" s="11"/>
    </row>
    <row r="14" spans="1:14" x14ac:dyDescent="0.25">
      <c r="F14" s="6" t="s">
        <v>19</v>
      </c>
      <c r="G14" s="8">
        <v>270</v>
      </c>
      <c r="H14" s="8">
        <v>290</v>
      </c>
      <c r="I14" s="8">
        <v>310</v>
      </c>
      <c r="J14" s="8">
        <v>275</v>
      </c>
      <c r="K14" s="8">
        <v>280</v>
      </c>
      <c r="L14" s="11"/>
    </row>
    <row r="15" spans="1:14" x14ac:dyDescent="0.25">
      <c r="F15" s="6" t="s">
        <v>27</v>
      </c>
      <c r="G15" s="8">
        <v>245</v>
      </c>
      <c r="H15" s="8">
        <v>240</v>
      </c>
      <c r="I15" s="8">
        <v>265</v>
      </c>
      <c r="J15" s="8">
        <v>280</v>
      </c>
      <c r="K15" s="8">
        <v>250</v>
      </c>
      <c r="L15" s="11"/>
    </row>
    <row r="16" spans="1:14" x14ac:dyDescent="0.25">
      <c r="N16" s="9"/>
    </row>
    <row r="17" spans="3:17" ht="15.75" thickBot="1" x14ac:dyDescent="0.3">
      <c r="N17" s="9"/>
    </row>
    <row r="18" spans="3:17" ht="16.5" thickTop="1" thickBot="1" x14ac:dyDescent="0.3">
      <c r="C18" s="15"/>
      <c r="D18" s="28" t="s">
        <v>42</v>
      </c>
      <c r="E18" s="28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</row>
    <row r="19" spans="3:17" ht="15" customHeight="1" thickTop="1" x14ac:dyDescent="0.25"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</row>
    <row r="20" spans="3:17" ht="15.75" customHeight="1" x14ac:dyDescent="0.25">
      <c r="C20" s="15"/>
      <c r="D20" s="15"/>
      <c r="E20" s="15"/>
      <c r="F20" s="15"/>
      <c r="G20" s="15"/>
      <c r="H20" s="17"/>
      <c r="I20" s="15"/>
      <c r="J20" s="15"/>
      <c r="K20" s="15"/>
      <c r="L20" s="22"/>
      <c r="M20" s="22"/>
      <c r="N20" s="15"/>
      <c r="O20" s="15"/>
      <c r="P20" s="15"/>
      <c r="Q20" s="15"/>
    </row>
    <row r="21" spans="3:17" ht="15.75" customHeight="1" x14ac:dyDescent="0.25">
      <c r="C21" s="15"/>
      <c r="D21" s="15"/>
      <c r="H21" s="5" t="s">
        <v>34</v>
      </c>
      <c r="O21" s="22"/>
      <c r="P21" s="19"/>
      <c r="Q21" s="15"/>
    </row>
    <row r="22" spans="3:17" ht="15.75" customHeight="1" x14ac:dyDescent="0.25">
      <c r="C22" s="15"/>
      <c r="D22" s="15"/>
      <c r="F22" s="6"/>
      <c r="G22" s="6" t="s">
        <v>5</v>
      </c>
      <c r="H22" s="6" t="s">
        <v>6</v>
      </c>
      <c r="I22" s="6" t="s">
        <v>7</v>
      </c>
      <c r="J22" s="6" t="s">
        <v>8</v>
      </c>
      <c r="K22" s="6" t="s">
        <v>22</v>
      </c>
      <c r="L22" s="25" t="s">
        <v>40</v>
      </c>
      <c r="N22" s="18"/>
      <c r="O22" s="22"/>
      <c r="P22" s="19"/>
      <c r="Q22" s="15"/>
    </row>
    <row r="23" spans="3:17" ht="15.75" customHeight="1" x14ac:dyDescent="0.25">
      <c r="C23" s="15"/>
      <c r="D23" s="15"/>
      <c r="F23" s="6" t="s">
        <v>10</v>
      </c>
      <c r="G23" s="8">
        <v>1</v>
      </c>
      <c r="H23" s="8">
        <v>0</v>
      </c>
      <c r="I23" s="8">
        <v>0</v>
      </c>
      <c r="J23" s="8">
        <v>0</v>
      </c>
      <c r="K23" s="8">
        <v>0</v>
      </c>
      <c r="L23">
        <f>SUM(G23:K23)</f>
        <v>1</v>
      </c>
      <c r="M23" s="39" t="s">
        <v>41</v>
      </c>
      <c r="N23" s="18"/>
      <c r="O23" s="22">
        <v>1</v>
      </c>
      <c r="P23" s="19"/>
      <c r="Q23" s="15"/>
    </row>
    <row r="24" spans="3:17" ht="15.75" customHeight="1" x14ac:dyDescent="0.25">
      <c r="C24" s="15"/>
      <c r="D24" s="15"/>
      <c r="E24" s="5" t="s">
        <v>37</v>
      </c>
      <c r="F24" s="6" t="s">
        <v>12</v>
      </c>
      <c r="G24" s="8">
        <v>0</v>
      </c>
      <c r="H24" s="8">
        <v>0</v>
      </c>
      <c r="I24" s="8">
        <v>1</v>
      </c>
      <c r="J24" s="8">
        <v>0</v>
      </c>
      <c r="K24" s="8">
        <v>0</v>
      </c>
      <c r="L24">
        <f t="shared" ref="L24:L27" si="0">SUM(G24:K24)</f>
        <v>1</v>
      </c>
      <c r="M24" s="27" t="s">
        <v>41</v>
      </c>
      <c r="N24" s="18"/>
      <c r="O24" s="22">
        <v>1</v>
      </c>
      <c r="P24" s="19"/>
      <c r="Q24" s="15"/>
    </row>
    <row r="25" spans="3:17" ht="15.75" customHeight="1" x14ac:dyDescent="0.25">
      <c r="C25" s="15"/>
      <c r="D25" s="15"/>
      <c r="F25" s="6" t="s">
        <v>13</v>
      </c>
      <c r="G25" s="8">
        <v>0</v>
      </c>
      <c r="H25" s="8">
        <v>1</v>
      </c>
      <c r="I25" s="8">
        <v>0</v>
      </c>
      <c r="J25" s="8">
        <v>0</v>
      </c>
      <c r="K25" s="8">
        <v>0</v>
      </c>
      <c r="L25">
        <f t="shared" si="0"/>
        <v>1</v>
      </c>
      <c r="M25" s="27" t="s">
        <v>41</v>
      </c>
      <c r="N25" s="18"/>
      <c r="O25" s="22">
        <v>1</v>
      </c>
      <c r="P25" s="19"/>
      <c r="Q25" s="15"/>
    </row>
    <row r="26" spans="3:17" ht="15.75" customHeight="1" x14ac:dyDescent="0.25">
      <c r="C26" s="15"/>
      <c r="D26" s="15"/>
      <c r="F26" s="6" t="s">
        <v>19</v>
      </c>
      <c r="G26" s="8">
        <v>0</v>
      </c>
      <c r="H26" s="8">
        <v>0</v>
      </c>
      <c r="I26" s="8">
        <v>0</v>
      </c>
      <c r="J26" s="8">
        <v>1</v>
      </c>
      <c r="K26" s="8">
        <v>0</v>
      </c>
      <c r="L26">
        <f t="shared" si="0"/>
        <v>1</v>
      </c>
      <c r="M26" s="27" t="s">
        <v>41</v>
      </c>
      <c r="N26" s="24"/>
      <c r="O26" s="22">
        <v>1</v>
      </c>
      <c r="P26" s="19"/>
      <c r="Q26" s="15"/>
    </row>
    <row r="27" spans="3:17" ht="15.75" customHeight="1" x14ac:dyDescent="0.25">
      <c r="C27" s="15"/>
      <c r="D27" s="15"/>
      <c r="F27" s="6" t="s">
        <v>27</v>
      </c>
      <c r="G27" s="35">
        <v>0</v>
      </c>
      <c r="H27" s="35">
        <v>0</v>
      </c>
      <c r="I27" s="35">
        <v>0</v>
      </c>
      <c r="J27" s="35">
        <v>0</v>
      </c>
      <c r="K27" s="35">
        <v>1</v>
      </c>
      <c r="L27">
        <f t="shared" si="0"/>
        <v>1</v>
      </c>
      <c r="M27" s="27" t="s">
        <v>41</v>
      </c>
      <c r="N27" s="15"/>
      <c r="O27" s="22">
        <v>1</v>
      </c>
      <c r="P27" s="15"/>
      <c r="Q27" s="15"/>
    </row>
    <row r="28" spans="3:17" ht="15.75" customHeight="1" x14ac:dyDescent="0.25">
      <c r="C28" s="15"/>
      <c r="D28" s="15"/>
      <c r="E28" s="15"/>
      <c r="F28" s="6" t="s">
        <v>40</v>
      </c>
      <c r="G28" s="36">
        <f>SUM(G23:G27)</f>
        <v>1</v>
      </c>
      <c r="H28" s="36">
        <f t="shared" ref="H28" si="1">SUM(H23:H27)</f>
        <v>1</v>
      </c>
      <c r="I28" s="36">
        <f>SUM(I23:I27)</f>
        <v>1</v>
      </c>
      <c r="J28" s="36">
        <f t="shared" ref="J28" si="2">SUM(J23:J27)</f>
        <v>1</v>
      </c>
      <c r="K28" s="36">
        <f t="shared" ref="K28" si="3">SUM(K23:K27)</f>
        <v>1</v>
      </c>
      <c r="N28" s="15"/>
      <c r="O28" s="15"/>
      <c r="P28" s="37"/>
      <c r="Q28" s="15"/>
    </row>
    <row r="29" spans="3:17" ht="15.75" customHeight="1" x14ac:dyDescent="0.25">
      <c r="C29" s="15"/>
      <c r="D29" s="15"/>
      <c r="E29" s="15"/>
      <c r="F29" s="19"/>
      <c r="G29" s="19"/>
      <c r="H29" s="19"/>
      <c r="I29" s="19"/>
      <c r="L29" s="29" t="s">
        <v>43</v>
      </c>
      <c r="M29" s="29">
        <f>SUMPRODUCT(G11:K15,G23:K27)</f>
        <v>1605</v>
      </c>
      <c r="N29" s="26"/>
      <c r="O29" s="24"/>
      <c r="P29" s="15"/>
      <c r="Q29" s="15"/>
    </row>
    <row r="30" spans="3:17" ht="15.75" customHeight="1" x14ac:dyDescent="0.25">
      <c r="C30" s="15"/>
      <c r="D30" s="15"/>
      <c r="E30" s="15"/>
      <c r="F30" s="15"/>
      <c r="G30" s="27" t="s">
        <v>41</v>
      </c>
      <c r="H30" s="27" t="s">
        <v>41</v>
      </c>
      <c r="I30" s="27" t="s">
        <v>41</v>
      </c>
      <c r="J30" s="27" t="s">
        <v>41</v>
      </c>
      <c r="K30" s="27" t="s">
        <v>41</v>
      </c>
      <c r="M30" s="22"/>
      <c r="N30" s="15"/>
      <c r="O30" s="15"/>
      <c r="P30" s="15"/>
      <c r="Q30" s="15"/>
    </row>
    <row r="31" spans="3:17" ht="15.75" customHeight="1" x14ac:dyDescent="0.25">
      <c r="C31" s="15"/>
      <c r="D31" s="15"/>
      <c r="E31" s="15"/>
      <c r="F31" s="22"/>
      <c r="G31" s="22">
        <v>1</v>
      </c>
      <c r="H31" s="22">
        <v>1</v>
      </c>
      <c r="I31" s="22">
        <v>1</v>
      </c>
      <c r="J31" s="22">
        <v>1</v>
      </c>
      <c r="K31" s="22">
        <v>1</v>
      </c>
      <c r="L31" s="22"/>
      <c r="M31" s="22"/>
      <c r="N31" s="15"/>
      <c r="O31" s="15"/>
      <c r="P31" s="15"/>
      <c r="Q31" s="15"/>
    </row>
    <row r="32" spans="3:17" ht="15.75" customHeight="1" x14ac:dyDescent="0.25">
      <c r="C32" s="15"/>
      <c r="D32" s="15"/>
      <c r="E32" s="15"/>
      <c r="F32" s="22"/>
      <c r="G32" s="22"/>
      <c r="H32" s="22"/>
      <c r="I32" s="22"/>
      <c r="J32" s="15"/>
      <c r="K32" s="15"/>
      <c r="L32" s="15"/>
      <c r="M32" s="15"/>
      <c r="N32" s="15"/>
      <c r="O32" s="15"/>
      <c r="P32" s="15"/>
      <c r="Q32" s="15"/>
    </row>
    <row r="33" spans="3:17" ht="15.75" customHeight="1" x14ac:dyDescent="0.25"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</row>
    <row r="34" spans="3:17" ht="15.75" customHeight="1" x14ac:dyDescent="0.25"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</row>
    <row r="35" spans="3:17" ht="15.75" customHeight="1" x14ac:dyDescent="0.25"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spans="3:17" ht="15.75" customHeight="1" x14ac:dyDescent="0.25"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spans="3:17" ht="15.75" customHeight="1" x14ac:dyDescent="0.25"/>
    <row r="38" spans="3:17" ht="15.75" customHeight="1" x14ac:dyDescent="0.25"/>
    <row r="39" spans="3:17" ht="15.75" customHeight="1" x14ac:dyDescent="0.25"/>
    <row r="40" spans="3:17" ht="15.75" customHeight="1" x14ac:dyDescent="0.25"/>
    <row r="41" spans="3:17" ht="15.75" customHeight="1" x14ac:dyDescent="0.25"/>
    <row r="42" spans="3:17" ht="15.75" customHeight="1" x14ac:dyDescent="0.25"/>
    <row r="43" spans="3:17" ht="15.75" customHeight="1" x14ac:dyDescent="0.25"/>
    <row r="44" spans="3:17" ht="15.75" customHeight="1" x14ac:dyDescent="0.25"/>
    <row r="45" spans="3:17" ht="15.75" customHeight="1" x14ac:dyDescent="0.25"/>
    <row r="46" spans="3:17" ht="15.75" customHeight="1" x14ac:dyDescent="0.25"/>
    <row r="47" spans="3:17" ht="15.75" customHeight="1" x14ac:dyDescent="0.25"/>
    <row r="48" spans="3:1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D18:E18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1"/>
  <sheetViews>
    <sheetView workbookViewId="0">
      <selection activeCell="D18" sqref="D18:O31"/>
    </sheetView>
  </sheetViews>
  <sheetFormatPr defaultRowHeight="15" x14ac:dyDescent="0.25"/>
  <cols>
    <col min="1" max="1" width="40" customWidth="1"/>
    <col min="12" max="12" width="9.7109375" bestFit="1" customWidth="1"/>
  </cols>
  <sheetData>
    <row r="1" spans="1:14" ht="26.25" x14ac:dyDescent="0.4">
      <c r="G1" s="1" t="s">
        <v>0</v>
      </c>
    </row>
    <row r="2" spans="1:14" ht="26.25" x14ac:dyDescent="0.4">
      <c r="G2" s="1" t="s">
        <v>28</v>
      </c>
    </row>
    <row r="4" spans="1:14" ht="18.75" x14ac:dyDescent="0.3">
      <c r="A4" s="2" t="s">
        <v>44</v>
      </c>
    </row>
    <row r="5" spans="1:14" ht="18.75" x14ac:dyDescent="0.3">
      <c r="A5" s="2" t="s">
        <v>45</v>
      </c>
    </row>
    <row r="6" spans="1:14" ht="18.75" x14ac:dyDescent="0.3">
      <c r="A6" s="2" t="s">
        <v>46</v>
      </c>
    </row>
    <row r="8" spans="1:14" ht="16.5" thickBot="1" x14ac:dyDescent="0.3">
      <c r="A8" s="3" t="s">
        <v>32</v>
      </c>
    </row>
    <row r="9" spans="1:14" ht="16.5" thickTop="1" thickBot="1" x14ac:dyDescent="0.3">
      <c r="D9" s="4" t="s">
        <v>3</v>
      </c>
      <c r="H9" s="5" t="s">
        <v>36</v>
      </c>
    </row>
    <row r="10" spans="1:14" ht="15.75" thickTop="1" x14ac:dyDescent="0.25">
      <c r="F10" s="6"/>
      <c r="G10" s="6" t="s">
        <v>5</v>
      </c>
      <c r="H10" s="6" t="s">
        <v>6</v>
      </c>
      <c r="I10" s="6" t="s">
        <v>7</v>
      </c>
      <c r="J10" s="6" t="s">
        <v>8</v>
      </c>
      <c r="K10" s="6" t="s">
        <v>22</v>
      </c>
      <c r="L10" s="11"/>
    </row>
    <row r="11" spans="1:14" x14ac:dyDescent="0.25">
      <c r="F11" s="6" t="s">
        <v>10</v>
      </c>
      <c r="G11" s="8">
        <v>8</v>
      </c>
      <c r="H11" s="8">
        <v>4</v>
      </c>
      <c r="I11" s="8">
        <v>2</v>
      </c>
      <c r="J11" s="8">
        <v>6</v>
      </c>
      <c r="K11" s="8">
        <v>1</v>
      </c>
      <c r="L11" s="11"/>
      <c r="M11" s="11"/>
    </row>
    <row r="12" spans="1:14" x14ac:dyDescent="0.25">
      <c r="E12" s="5" t="s">
        <v>34</v>
      </c>
      <c r="F12" s="6" t="s">
        <v>12</v>
      </c>
      <c r="G12" s="8">
        <v>0</v>
      </c>
      <c r="H12" s="8">
        <v>9</v>
      </c>
      <c r="I12" s="8">
        <v>5</v>
      </c>
      <c r="J12" s="8">
        <v>5</v>
      </c>
      <c r="K12" s="8">
        <v>4</v>
      </c>
      <c r="L12" s="11"/>
    </row>
    <row r="13" spans="1:14" x14ac:dyDescent="0.25">
      <c r="F13" s="6" t="s">
        <v>13</v>
      </c>
      <c r="G13" s="8">
        <v>3</v>
      </c>
      <c r="H13" s="8">
        <v>8</v>
      </c>
      <c r="I13" s="8">
        <v>9</v>
      </c>
      <c r="J13" s="8">
        <v>2</v>
      </c>
      <c r="K13" s="8">
        <v>6</v>
      </c>
      <c r="L13" s="11"/>
    </row>
    <row r="14" spans="1:14" x14ac:dyDescent="0.25">
      <c r="F14" s="6" t="s">
        <v>19</v>
      </c>
      <c r="G14" s="8">
        <v>4</v>
      </c>
      <c r="H14" s="8">
        <v>3</v>
      </c>
      <c r="I14" s="8">
        <v>1</v>
      </c>
      <c r="J14" s="8">
        <v>0</v>
      </c>
      <c r="K14" s="8">
        <v>3</v>
      </c>
      <c r="L14" s="11"/>
    </row>
    <row r="15" spans="1:14" x14ac:dyDescent="0.25">
      <c r="F15" s="6" t="s">
        <v>27</v>
      </c>
      <c r="G15" s="8">
        <v>9</v>
      </c>
      <c r="H15" s="8">
        <v>5</v>
      </c>
      <c r="I15" s="8">
        <v>8</v>
      </c>
      <c r="J15" s="8">
        <v>9</v>
      </c>
      <c r="K15" s="8">
        <v>5</v>
      </c>
      <c r="L15" s="11"/>
    </row>
    <row r="16" spans="1:14" x14ac:dyDescent="0.25">
      <c r="N16" s="9"/>
    </row>
    <row r="17" spans="3:19" ht="15.75" thickBot="1" x14ac:dyDescent="0.3"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6"/>
      <c r="O17" s="15"/>
      <c r="P17" s="15"/>
      <c r="Q17" s="15"/>
      <c r="R17" s="15"/>
      <c r="S17" s="15"/>
    </row>
    <row r="18" spans="3:19" ht="16.5" thickTop="1" thickBot="1" x14ac:dyDescent="0.3">
      <c r="C18" s="15"/>
      <c r="D18" s="28" t="s">
        <v>42</v>
      </c>
      <c r="E18" s="28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</row>
    <row r="19" spans="3:19" ht="15.75" thickTop="1" x14ac:dyDescent="0.25"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</row>
    <row r="20" spans="3:19" x14ac:dyDescent="0.25">
      <c r="C20" s="15"/>
      <c r="D20" s="15"/>
      <c r="E20" s="15"/>
      <c r="F20" s="15"/>
      <c r="G20" s="15"/>
      <c r="H20" s="17"/>
      <c r="I20" s="15"/>
      <c r="J20" s="15"/>
      <c r="K20" s="15"/>
      <c r="L20" s="22"/>
      <c r="M20" s="22"/>
      <c r="N20" s="15"/>
      <c r="O20" s="15"/>
      <c r="P20" s="15"/>
      <c r="Q20" s="15"/>
      <c r="R20" s="15"/>
      <c r="S20" s="15"/>
    </row>
    <row r="21" spans="3:19" x14ac:dyDescent="0.25">
      <c r="C21" s="15"/>
      <c r="D21" s="15"/>
      <c r="H21" s="5" t="s">
        <v>36</v>
      </c>
      <c r="O21" s="22"/>
      <c r="P21" s="15"/>
      <c r="Q21" s="15"/>
      <c r="R21" s="15"/>
      <c r="S21" s="15"/>
    </row>
    <row r="22" spans="3:19" x14ac:dyDescent="0.25">
      <c r="C22" s="15"/>
      <c r="D22" s="15"/>
      <c r="F22" s="6"/>
      <c r="G22" s="6" t="s">
        <v>5</v>
      </c>
      <c r="H22" s="6" t="s">
        <v>6</v>
      </c>
      <c r="I22" s="6" t="s">
        <v>7</v>
      </c>
      <c r="J22" s="6" t="s">
        <v>8</v>
      </c>
      <c r="K22" s="6" t="s">
        <v>22</v>
      </c>
      <c r="L22" s="25" t="s">
        <v>40</v>
      </c>
      <c r="N22" s="18"/>
      <c r="O22" s="22"/>
      <c r="P22" s="15"/>
      <c r="Q22" s="15"/>
      <c r="R22" s="15"/>
      <c r="S22" s="15"/>
    </row>
    <row r="23" spans="3:19" x14ac:dyDescent="0.25">
      <c r="C23" s="15"/>
      <c r="D23" s="15"/>
      <c r="F23" s="6" t="s">
        <v>10</v>
      </c>
      <c r="G23" s="8">
        <v>0</v>
      </c>
      <c r="H23" s="8">
        <v>0</v>
      </c>
      <c r="I23" s="8">
        <v>0</v>
      </c>
      <c r="J23" s="8">
        <v>0</v>
      </c>
      <c r="K23" s="8">
        <v>1</v>
      </c>
      <c r="L23">
        <f>SUM(G23:K23)</f>
        <v>1</v>
      </c>
      <c r="M23" s="39" t="s">
        <v>41</v>
      </c>
      <c r="N23" s="18"/>
      <c r="O23" s="22">
        <v>1</v>
      </c>
      <c r="P23" s="15"/>
      <c r="Q23" s="15"/>
      <c r="R23" s="15"/>
      <c r="S23" s="15"/>
    </row>
    <row r="24" spans="3:19" x14ac:dyDescent="0.25">
      <c r="C24" s="15"/>
      <c r="D24" s="15"/>
      <c r="E24" s="5" t="s">
        <v>34</v>
      </c>
      <c r="F24" s="6" t="s">
        <v>12</v>
      </c>
      <c r="G24" s="8">
        <v>1</v>
      </c>
      <c r="H24" s="8">
        <v>0</v>
      </c>
      <c r="I24" s="8">
        <v>0</v>
      </c>
      <c r="J24" s="8">
        <v>0</v>
      </c>
      <c r="K24" s="8">
        <v>0</v>
      </c>
      <c r="L24">
        <f t="shared" ref="L24:L27" si="0">SUM(G24:K24)</f>
        <v>1</v>
      </c>
      <c r="M24" s="27" t="s">
        <v>41</v>
      </c>
      <c r="N24" s="18"/>
      <c r="O24" s="22">
        <v>1</v>
      </c>
      <c r="P24" s="15"/>
      <c r="Q24" s="15"/>
      <c r="R24" s="15"/>
      <c r="S24" s="15"/>
    </row>
    <row r="25" spans="3:19" x14ac:dyDescent="0.25">
      <c r="C25" s="15"/>
      <c r="D25" s="15"/>
      <c r="F25" s="6" t="s">
        <v>13</v>
      </c>
      <c r="G25" s="8">
        <v>0</v>
      </c>
      <c r="H25" s="8">
        <v>0</v>
      </c>
      <c r="I25" s="8">
        <v>0</v>
      </c>
      <c r="J25" s="8">
        <v>1</v>
      </c>
      <c r="K25" s="8">
        <v>0</v>
      </c>
      <c r="L25">
        <f t="shared" si="0"/>
        <v>1</v>
      </c>
      <c r="M25" s="27" t="s">
        <v>41</v>
      </c>
      <c r="N25" s="18"/>
      <c r="O25" s="22">
        <v>1</v>
      </c>
      <c r="P25" s="15"/>
      <c r="Q25" s="15"/>
      <c r="R25" s="15"/>
      <c r="S25" s="15"/>
    </row>
    <row r="26" spans="3:19" x14ac:dyDescent="0.25">
      <c r="C26" s="15"/>
      <c r="D26" s="15"/>
      <c r="F26" s="6" t="s">
        <v>19</v>
      </c>
      <c r="G26" s="8">
        <v>0</v>
      </c>
      <c r="H26" s="8">
        <v>0</v>
      </c>
      <c r="I26" s="8">
        <v>1</v>
      </c>
      <c r="J26" s="8">
        <v>0</v>
      </c>
      <c r="K26" s="8">
        <v>0</v>
      </c>
      <c r="L26">
        <f t="shared" si="0"/>
        <v>1</v>
      </c>
      <c r="M26" s="27" t="s">
        <v>41</v>
      </c>
      <c r="N26" s="24"/>
      <c r="O26" s="22">
        <v>1</v>
      </c>
      <c r="P26" s="15"/>
      <c r="Q26" s="15"/>
      <c r="R26" s="15"/>
      <c r="S26" s="15"/>
    </row>
    <row r="27" spans="3:19" x14ac:dyDescent="0.25">
      <c r="C27" s="15"/>
      <c r="D27" s="15"/>
      <c r="F27" s="6" t="s">
        <v>27</v>
      </c>
      <c r="G27" s="35">
        <v>0</v>
      </c>
      <c r="H27" s="35">
        <v>1</v>
      </c>
      <c r="I27" s="35">
        <v>0</v>
      </c>
      <c r="J27" s="35">
        <v>0</v>
      </c>
      <c r="K27" s="35">
        <v>0</v>
      </c>
      <c r="L27">
        <f t="shared" si="0"/>
        <v>1</v>
      </c>
      <c r="M27" s="27" t="s">
        <v>41</v>
      </c>
      <c r="N27" s="15"/>
      <c r="O27" s="22">
        <v>1</v>
      </c>
      <c r="P27" s="15"/>
      <c r="Q27" s="15"/>
      <c r="R27" s="15"/>
      <c r="S27" s="15"/>
    </row>
    <row r="28" spans="3:19" x14ac:dyDescent="0.25">
      <c r="C28" s="15"/>
      <c r="D28" s="15"/>
      <c r="E28" s="15"/>
      <c r="F28" s="6" t="s">
        <v>40</v>
      </c>
      <c r="G28" s="36">
        <f>SUM(G23:G27)</f>
        <v>1</v>
      </c>
      <c r="H28" s="36">
        <f t="shared" ref="H28" si="1">SUM(H23:H27)</f>
        <v>1</v>
      </c>
      <c r="I28" s="36">
        <f>SUM(I23:I27)</f>
        <v>1</v>
      </c>
      <c r="J28" s="36">
        <f t="shared" ref="J28:K28" si="2">SUM(J23:J27)</f>
        <v>1</v>
      </c>
      <c r="K28" s="36">
        <f t="shared" si="2"/>
        <v>1</v>
      </c>
      <c r="N28" s="15"/>
      <c r="O28" s="15"/>
      <c r="P28" s="15"/>
      <c r="Q28" s="15"/>
      <c r="R28" s="15"/>
      <c r="S28" s="15"/>
    </row>
    <row r="29" spans="3:19" x14ac:dyDescent="0.25">
      <c r="C29" s="15"/>
      <c r="D29" s="15"/>
      <c r="E29" s="15"/>
      <c r="F29" s="19"/>
      <c r="G29" s="19"/>
      <c r="H29" s="19"/>
      <c r="I29" s="19"/>
      <c r="L29" s="29" t="s">
        <v>43</v>
      </c>
      <c r="M29" s="29">
        <f>SUMPRODUCT(G11:K15,G23:K27)</f>
        <v>9</v>
      </c>
      <c r="N29" s="26"/>
      <c r="O29" s="24"/>
      <c r="P29" s="15"/>
      <c r="Q29" s="15"/>
      <c r="R29" s="15"/>
      <c r="S29" s="15"/>
    </row>
    <row r="30" spans="3:19" x14ac:dyDescent="0.25">
      <c r="C30" s="15"/>
      <c r="D30" s="15"/>
      <c r="E30" s="15"/>
      <c r="F30" s="15"/>
      <c r="G30" s="27" t="s">
        <v>41</v>
      </c>
      <c r="H30" s="27" t="s">
        <v>41</v>
      </c>
      <c r="I30" s="27" t="s">
        <v>41</v>
      </c>
      <c r="J30" s="27" t="s">
        <v>41</v>
      </c>
      <c r="K30" s="27" t="s">
        <v>41</v>
      </c>
      <c r="M30" s="22"/>
      <c r="N30" s="15"/>
      <c r="O30" s="15"/>
      <c r="P30" s="15"/>
      <c r="Q30" s="15"/>
      <c r="R30" s="15"/>
      <c r="S30" s="15"/>
    </row>
    <row r="31" spans="3:19" x14ac:dyDescent="0.25">
      <c r="C31" s="15"/>
      <c r="D31" s="15"/>
      <c r="E31" s="15"/>
      <c r="F31" s="22"/>
      <c r="G31" s="22">
        <v>1</v>
      </c>
      <c r="H31" s="22">
        <v>1</v>
      </c>
      <c r="I31" s="22">
        <v>1</v>
      </c>
      <c r="J31" s="22">
        <v>1</v>
      </c>
      <c r="K31" s="22">
        <v>1</v>
      </c>
      <c r="L31" s="22"/>
      <c r="M31" s="22"/>
      <c r="N31" s="15"/>
      <c r="O31" s="15"/>
      <c r="P31" s="15"/>
      <c r="Q31" s="15"/>
      <c r="R31" s="15"/>
      <c r="S31" s="15"/>
    </row>
  </sheetData>
  <mergeCells count="1">
    <mergeCell ref="D18:E18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0"/>
  <sheetViews>
    <sheetView workbookViewId="0">
      <selection activeCell="S29" sqref="S29"/>
    </sheetView>
  </sheetViews>
  <sheetFormatPr defaultRowHeight="15" x14ac:dyDescent="0.25"/>
  <cols>
    <col min="1" max="1" width="36" customWidth="1"/>
  </cols>
  <sheetData>
    <row r="1" spans="1:13" ht="26.25" x14ac:dyDescent="0.4">
      <c r="G1" s="1" t="s">
        <v>0</v>
      </c>
    </row>
    <row r="2" spans="1:13" ht="26.25" x14ac:dyDescent="0.4">
      <c r="G2" s="1" t="s">
        <v>28</v>
      </c>
    </row>
    <row r="4" spans="1:13" ht="18.75" x14ac:dyDescent="0.3">
      <c r="A4" s="2" t="s">
        <v>44</v>
      </c>
    </row>
    <row r="5" spans="1:13" ht="18.75" x14ac:dyDescent="0.3">
      <c r="A5" s="2" t="s">
        <v>45</v>
      </c>
    </row>
    <row r="6" spans="1:13" ht="18.75" x14ac:dyDescent="0.3">
      <c r="A6" s="2" t="s">
        <v>46</v>
      </c>
    </row>
    <row r="8" spans="1:13" ht="16.5" thickBot="1" x14ac:dyDescent="0.3">
      <c r="A8" s="3" t="s">
        <v>16</v>
      </c>
    </row>
    <row r="9" spans="1:13" ht="16.5" thickTop="1" thickBot="1" x14ac:dyDescent="0.3">
      <c r="D9" s="4" t="s">
        <v>3</v>
      </c>
      <c r="H9" s="5" t="s">
        <v>36</v>
      </c>
    </row>
    <row r="10" spans="1:13" ht="15.75" thickTop="1" x14ac:dyDescent="0.25">
      <c r="F10" s="6"/>
      <c r="G10" s="6" t="s">
        <v>5</v>
      </c>
      <c r="H10" s="6" t="s">
        <v>6</v>
      </c>
      <c r="I10" s="6" t="s">
        <v>7</v>
      </c>
      <c r="J10" s="6" t="s">
        <v>8</v>
      </c>
      <c r="K10" s="11"/>
    </row>
    <row r="11" spans="1:13" x14ac:dyDescent="0.25">
      <c r="F11" s="6" t="s">
        <v>10</v>
      </c>
      <c r="G11" s="8">
        <v>8</v>
      </c>
      <c r="H11" s="8">
        <v>26</v>
      </c>
      <c r="I11" s="8">
        <v>17</v>
      </c>
      <c r="J11" s="8">
        <v>11</v>
      </c>
      <c r="K11" s="11"/>
      <c r="L11" s="11"/>
    </row>
    <row r="12" spans="1:13" x14ac:dyDescent="0.25">
      <c r="E12" s="5" t="s">
        <v>34</v>
      </c>
      <c r="F12" s="6" t="s">
        <v>12</v>
      </c>
      <c r="G12" s="8">
        <v>13</v>
      </c>
      <c r="H12" s="8">
        <v>28</v>
      </c>
      <c r="I12" s="8">
        <v>4</v>
      </c>
      <c r="J12" s="8">
        <v>26</v>
      </c>
      <c r="K12" s="11"/>
    </row>
    <row r="13" spans="1:13" x14ac:dyDescent="0.25">
      <c r="F13" s="6" t="s">
        <v>13</v>
      </c>
      <c r="G13" s="8">
        <v>38</v>
      </c>
      <c r="H13" s="8">
        <v>19</v>
      </c>
      <c r="I13" s="8">
        <v>18</v>
      </c>
      <c r="J13" s="8">
        <v>15</v>
      </c>
      <c r="K13" s="11"/>
    </row>
    <row r="14" spans="1:13" x14ac:dyDescent="0.25">
      <c r="F14" s="6" t="s">
        <v>19</v>
      </c>
      <c r="G14" s="8">
        <v>19</v>
      </c>
      <c r="H14" s="8">
        <v>26</v>
      </c>
      <c r="I14" s="8">
        <v>24</v>
      </c>
      <c r="J14" s="8">
        <v>10</v>
      </c>
      <c r="K14" s="11"/>
    </row>
    <row r="15" spans="1:13" x14ac:dyDescent="0.25">
      <c r="M15" s="9"/>
    </row>
    <row r="16" spans="1:13" ht="15.75" thickBot="1" x14ac:dyDescent="0.3">
      <c r="M16" s="9"/>
    </row>
    <row r="17" spans="4:15" ht="16.5" thickTop="1" thickBot="1" x14ac:dyDescent="0.3">
      <c r="D17" s="28" t="s">
        <v>42</v>
      </c>
      <c r="E17" s="28"/>
      <c r="F17" s="15"/>
      <c r="G17" s="15"/>
      <c r="H17" s="15"/>
      <c r="I17" s="15"/>
      <c r="J17" s="15"/>
      <c r="K17" s="15"/>
      <c r="L17" s="15"/>
      <c r="M17" s="15"/>
      <c r="N17" s="15"/>
      <c r="O17" s="15"/>
    </row>
    <row r="18" spans="4:15" ht="15.75" thickTop="1" x14ac:dyDescent="0.25"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</row>
    <row r="19" spans="4:15" x14ac:dyDescent="0.25">
      <c r="D19" s="15"/>
      <c r="E19" s="15"/>
      <c r="F19" s="15"/>
      <c r="G19" s="15"/>
      <c r="H19" s="17"/>
      <c r="I19" s="15"/>
      <c r="J19" s="15"/>
      <c r="K19" s="15"/>
      <c r="L19" s="22"/>
      <c r="M19" s="22"/>
      <c r="N19" s="15"/>
      <c r="O19" s="15"/>
    </row>
    <row r="20" spans="4:15" x14ac:dyDescent="0.25">
      <c r="D20" s="15"/>
      <c r="H20" s="5" t="s">
        <v>36</v>
      </c>
      <c r="O20" s="22"/>
    </row>
    <row r="21" spans="4:15" x14ac:dyDescent="0.25">
      <c r="D21" s="15"/>
      <c r="F21" s="6"/>
      <c r="G21" s="6" t="s">
        <v>5</v>
      </c>
      <c r="H21" s="6" t="s">
        <v>6</v>
      </c>
      <c r="I21" s="6" t="s">
        <v>7</v>
      </c>
      <c r="J21" s="6" t="s">
        <v>8</v>
      </c>
      <c r="K21" s="25" t="s">
        <v>40</v>
      </c>
      <c r="M21" s="18"/>
      <c r="N21" s="22"/>
    </row>
    <row r="22" spans="4:15" x14ac:dyDescent="0.25">
      <c r="D22" s="15"/>
      <c r="F22" s="6" t="s">
        <v>10</v>
      </c>
      <c r="G22" s="8">
        <v>1</v>
      </c>
      <c r="H22" s="8">
        <v>0</v>
      </c>
      <c r="I22" s="8">
        <v>0</v>
      </c>
      <c r="J22" s="8">
        <v>0</v>
      </c>
      <c r="K22">
        <f>SUM(G22:J22)</f>
        <v>1</v>
      </c>
      <c r="L22" s="39" t="s">
        <v>41</v>
      </c>
      <c r="M22" s="18"/>
      <c r="N22" s="22">
        <v>1</v>
      </c>
    </row>
    <row r="23" spans="4:15" x14ac:dyDescent="0.25">
      <c r="D23" s="15"/>
      <c r="E23" s="5" t="s">
        <v>34</v>
      </c>
      <c r="F23" s="6" t="s">
        <v>12</v>
      </c>
      <c r="G23" s="8">
        <v>0</v>
      </c>
      <c r="H23" s="8">
        <v>0</v>
      </c>
      <c r="I23" s="8">
        <v>1</v>
      </c>
      <c r="J23" s="8">
        <v>0</v>
      </c>
      <c r="K23">
        <f t="shared" ref="K23:K25" si="0">SUM(G23:J23)</f>
        <v>1</v>
      </c>
      <c r="L23" s="27" t="s">
        <v>41</v>
      </c>
      <c r="M23" s="18"/>
      <c r="N23" s="22">
        <v>1</v>
      </c>
    </row>
    <row r="24" spans="4:15" x14ac:dyDescent="0.25">
      <c r="D24" s="15"/>
      <c r="F24" s="6" t="s">
        <v>13</v>
      </c>
      <c r="G24" s="8">
        <v>0</v>
      </c>
      <c r="H24" s="8">
        <v>1</v>
      </c>
      <c r="I24" s="8">
        <v>0</v>
      </c>
      <c r="J24" s="8">
        <v>0</v>
      </c>
      <c r="K24">
        <f t="shared" si="0"/>
        <v>1</v>
      </c>
      <c r="L24" s="27" t="s">
        <v>41</v>
      </c>
      <c r="M24" s="18"/>
      <c r="N24" s="22">
        <v>1</v>
      </c>
    </row>
    <row r="25" spans="4:15" x14ac:dyDescent="0.25">
      <c r="D25" s="15"/>
      <c r="F25" s="6" t="s">
        <v>19</v>
      </c>
      <c r="G25" s="8">
        <v>0</v>
      </c>
      <c r="H25" s="8">
        <v>0</v>
      </c>
      <c r="I25" s="8">
        <v>0</v>
      </c>
      <c r="J25" s="8">
        <v>1</v>
      </c>
      <c r="K25">
        <f t="shared" si="0"/>
        <v>1</v>
      </c>
      <c r="L25" s="33" t="s">
        <v>41</v>
      </c>
      <c r="M25" s="24"/>
      <c r="N25" s="22">
        <v>1</v>
      </c>
    </row>
    <row r="26" spans="4:15" x14ac:dyDescent="0.25">
      <c r="D26" s="15"/>
      <c r="E26" s="15"/>
      <c r="F26" s="6" t="s">
        <v>40</v>
      </c>
      <c r="G26" s="36">
        <f>SUM(G22:G25)</f>
        <v>1</v>
      </c>
      <c r="H26" s="36">
        <f t="shared" ref="H26:J26" si="1">SUM(H22:H25)</f>
        <v>1</v>
      </c>
      <c r="I26" s="36">
        <f t="shared" si="1"/>
        <v>1</v>
      </c>
      <c r="J26" s="36">
        <f t="shared" si="1"/>
        <v>1</v>
      </c>
      <c r="L26" s="26"/>
      <c r="M26" s="15"/>
      <c r="N26" s="22"/>
    </row>
    <row r="27" spans="4:15" x14ac:dyDescent="0.25">
      <c r="D27" s="15"/>
      <c r="E27" s="15"/>
      <c r="F27" s="19"/>
      <c r="G27" s="19"/>
      <c r="H27" s="19"/>
      <c r="I27" s="19"/>
      <c r="K27" s="40" t="s">
        <v>43</v>
      </c>
      <c r="L27" s="29">
        <f>SUMPRODUCT(G11:J14,G22:J25)</f>
        <v>41</v>
      </c>
      <c r="M27" s="15"/>
      <c r="N27" s="15"/>
    </row>
    <row r="28" spans="4:15" x14ac:dyDescent="0.25">
      <c r="D28" s="15"/>
      <c r="E28" s="15"/>
      <c r="F28" s="15"/>
      <c r="G28" s="27" t="s">
        <v>41</v>
      </c>
      <c r="H28" s="27" t="s">
        <v>41</v>
      </c>
      <c r="I28" s="27" t="s">
        <v>41</v>
      </c>
      <c r="J28" s="27" t="s">
        <v>41</v>
      </c>
      <c r="M28" s="26"/>
      <c r="N28" s="24"/>
    </row>
    <row r="29" spans="4:15" x14ac:dyDescent="0.25">
      <c r="D29" s="15"/>
      <c r="E29" s="15"/>
      <c r="F29" s="22"/>
      <c r="G29" s="22">
        <v>1</v>
      </c>
      <c r="H29" s="22">
        <v>1</v>
      </c>
      <c r="I29" s="22">
        <v>1</v>
      </c>
      <c r="J29" s="22">
        <v>1</v>
      </c>
      <c r="K29" s="26"/>
      <c r="M29" s="22"/>
      <c r="N29" s="15"/>
      <c r="O29" s="15"/>
    </row>
    <row r="30" spans="4:15" x14ac:dyDescent="0.25">
      <c r="D30" s="15"/>
      <c r="K30" s="22"/>
      <c r="L30" s="22"/>
      <c r="M30" s="22"/>
      <c r="N30" s="15"/>
      <c r="O30" s="15"/>
    </row>
  </sheetData>
  <mergeCells count="1">
    <mergeCell ref="D17:E17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1"/>
  <sheetViews>
    <sheetView topLeftCell="A2" zoomScaleNormal="100" workbookViewId="0">
      <selection activeCell="R22" sqref="R22"/>
    </sheetView>
  </sheetViews>
  <sheetFormatPr defaultRowHeight="15" x14ac:dyDescent="0.25"/>
  <cols>
    <col min="1" max="1" width="37.140625" customWidth="1"/>
  </cols>
  <sheetData>
    <row r="1" spans="1:14" ht="26.25" x14ac:dyDescent="0.4">
      <c r="G1" s="1" t="s">
        <v>0</v>
      </c>
    </row>
    <row r="2" spans="1:14" ht="26.25" x14ac:dyDescent="0.4">
      <c r="G2" s="1" t="s">
        <v>28</v>
      </c>
    </row>
    <row r="4" spans="1:14" ht="18.75" x14ac:dyDescent="0.3">
      <c r="A4" s="2" t="s">
        <v>44</v>
      </c>
    </row>
    <row r="5" spans="1:14" ht="18.75" x14ac:dyDescent="0.3">
      <c r="A5" s="2" t="s">
        <v>45</v>
      </c>
    </row>
    <row r="6" spans="1:14" ht="18.75" x14ac:dyDescent="0.3">
      <c r="A6" s="2" t="s">
        <v>46</v>
      </c>
    </row>
    <row r="8" spans="1:14" ht="16.5" thickBot="1" x14ac:dyDescent="0.3">
      <c r="A8" s="3" t="s">
        <v>17</v>
      </c>
    </row>
    <row r="9" spans="1:14" ht="16.5" thickTop="1" thickBot="1" x14ac:dyDescent="0.3">
      <c r="D9" s="4" t="s">
        <v>3</v>
      </c>
      <c r="H9" s="5" t="s">
        <v>30</v>
      </c>
    </row>
    <row r="10" spans="1:14" ht="15.75" thickTop="1" x14ac:dyDescent="0.25">
      <c r="F10" s="6"/>
      <c r="G10" s="6" t="s">
        <v>5</v>
      </c>
      <c r="H10" s="6" t="s">
        <v>6</v>
      </c>
      <c r="I10" s="6" t="s">
        <v>7</v>
      </c>
      <c r="J10" s="6" t="s">
        <v>8</v>
      </c>
      <c r="K10" s="6" t="s">
        <v>22</v>
      </c>
      <c r="L10" s="11"/>
    </row>
    <row r="11" spans="1:14" x14ac:dyDescent="0.25">
      <c r="F11" s="6" t="s">
        <v>10</v>
      </c>
      <c r="G11" s="8">
        <v>160</v>
      </c>
      <c r="H11" s="8">
        <v>130</v>
      </c>
      <c r="I11" s="8">
        <v>175</v>
      </c>
      <c r="J11" s="8">
        <v>190</v>
      </c>
      <c r="K11" s="8">
        <v>200</v>
      </c>
      <c r="L11" s="11"/>
      <c r="M11" s="11"/>
    </row>
    <row r="12" spans="1:14" x14ac:dyDescent="0.25">
      <c r="E12" s="5" t="s">
        <v>31</v>
      </c>
      <c r="F12" s="6" t="s">
        <v>12</v>
      </c>
      <c r="G12" s="8">
        <v>135</v>
      </c>
      <c r="H12" s="8">
        <v>120</v>
      </c>
      <c r="I12" s="8">
        <v>130</v>
      </c>
      <c r="J12" s="8">
        <v>100</v>
      </c>
      <c r="K12" s="8">
        <v>175</v>
      </c>
      <c r="L12" s="11"/>
    </row>
    <row r="13" spans="1:14" x14ac:dyDescent="0.25">
      <c r="F13" s="6" t="s">
        <v>13</v>
      </c>
      <c r="G13" s="8">
        <v>140</v>
      </c>
      <c r="H13" s="8">
        <v>110</v>
      </c>
      <c r="I13" s="8">
        <v>155</v>
      </c>
      <c r="J13" s="8">
        <v>170</v>
      </c>
      <c r="K13" s="8">
        <v>185</v>
      </c>
      <c r="L13" s="11"/>
    </row>
    <row r="14" spans="1:14" x14ac:dyDescent="0.25">
      <c r="F14" s="6" t="s">
        <v>19</v>
      </c>
      <c r="G14" s="8">
        <v>50</v>
      </c>
      <c r="H14" s="8">
        <v>50</v>
      </c>
      <c r="I14" s="8">
        <v>80</v>
      </c>
      <c r="J14" s="8">
        <v>80</v>
      </c>
      <c r="K14" s="8">
        <v>110</v>
      </c>
      <c r="L14" s="11"/>
    </row>
    <row r="15" spans="1:14" x14ac:dyDescent="0.25">
      <c r="F15" s="6" t="s">
        <v>27</v>
      </c>
      <c r="G15" s="8">
        <v>55</v>
      </c>
      <c r="H15" s="8">
        <v>35</v>
      </c>
      <c r="I15" s="8">
        <v>70</v>
      </c>
      <c r="J15" s="8">
        <v>80</v>
      </c>
      <c r="K15" s="8">
        <v>105</v>
      </c>
      <c r="L15" s="11"/>
    </row>
    <row r="16" spans="1:14" x14ac:dyDescent="0.25">
      <c r="N16" s="9"/>
    </row>
    <row r="17" spans="4:15" ht="15.75" thickBot="1" x14ac:dyDescent="0.3">
      <c r="N17" s="9"/>
    </row>
    <row r="18" spans="4:15" ht="16.5" thickTop="1" thickBot="1" x14ac:dyDescent="0.3">
      <c r="D18" s="28" t="s">
        <v>42</v>
      </c>
      <c r="E18" s="28"/>
      <c r="F18" s="15"/>
      <c r="G18" s="15"/>
      <c r="H18" s="15"/>
      <c r="I18" s="15"/>
      <c r="J18" s="15"/>
      <c r="K18" s="15"/>
      <c r="L18" s="15"/>
      <c r="M18" s="15"/>
      <c r="N18" s="15"/>
      <c r="O18" s="15"/>
    </row>
    <row r="19" spans="4:15" ht="15.75" thickTop="1" x14ac:dyDescent="0.25"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</row>
    <row r="20" spans="4:15" x14ac:dyDescent="0.25">
      <c r="D20" s="15"/>
      <c r="E20" s="15"/>
      <c r="F20" s="15"/>
      <c r="G20" s="15"/>
      <c r="H20" s="17"/>
      <c r="I20" s="15"/>
      <c r="J20" s="15"/>
      <c r="K20" s="15"/>
      <c r="L20" s="22"/>
      <c r="M20" s="22"/>
      <c r="N20" s="15"/>
      <c r="O20" s="15"/>
    </row>
    <row r="21" spans="4:15" x14ac:dyDescent="0.25">
      <c r="D21" s="15"/>
      <c r="H21" s="5" t="s">
        <v>30</v>
      </c>
      <c r="O21" s="22"/>
    </row>
    <row r="22" spans="4:15" x14ac:dyDescent="0.25">
      <c r="D22" s="15"/>
      <c r="F22" s="6"/>
      <c r="G22" s="6" t="s">
        <v>5</v>
      </c>
      <c r="H22" s="6" t="s">
        <v>6</v>
      </c>
      <c r="I22" s="6" t="s">
        <v>7</v>
      </c>
      <c r="J22" s="6" t="s">
        <v>8</v>
      </c>
      <c r="K22" s="6" t="s">
        <v>22</v>
      </c>
      <c r="L22" s="25" t="s">
        <v>40</v>
      </c>
      <c r="N22" s="18"/>
      <c r="O22" s="22"/>
    </row>
    <row r="23" spans="4:15" x14ac:dyDescent="0.25">
      <c r="D23" s="15"/>
      <c r="F23" s="6" t="s">
        <v>10</v>
      </c>
      <c r="G23" s="8">
        <v>0</v>
      </c>
      <c r="H23" s="8">
        <v>0</v>
      </c>
      <c r="I23" s="8">
        <v>0</v>
      </c>
      <c r="J23" s="8">
        <v>0</v>
      </c>
      <c r="K23" s="8">
        <v>1</v>
      </c>
      <c r="L23">
        <f>SUM(G23:K23)</f>
        <v>1</v>
      </c>
      <c r="M23" s="39" t="s">
        <v>41</v>
      </c>
      <c r="N23" s="18"/>
      <c r="O23" s="22">
        <v>1</v>
      </c>
    </row>
    <row r="24" spans="4:15" x14ac:dyDescent="0.25">
      <c r="D24" s="15"/>
      <c r="E24" s="5" t="s">
        <v>31</v>
      </c>
      <c r="F24" s="6" t="s">
        <v>12</v>
      </c>
      <c r="G24" s="8">
        <v>0</v>
      </c>
      <c r="H24" s="8">
        <v>0</v>
      </c>
      <c r="I24" s="8">
        <v>0</v>
      </c>
      <c r="J24" s="8">
        <v>1</v>
      </c>
      <c r="K24" s="8">
        <v>0</v>
      </c>
      <c r="L24">
        <f t="shared" ref="L24:L27" si="0">SUM(G24:K24)</f>
        <v>1</v>
      </c>
      <c r="M24" s="27" t="s">
        <v>41</v>
      </c>
      <c r="N24" s="18"/>
      <c r="O24" s="22">
        <v>1</v>
      </c>
    </row>
    <row r="25" spans="4:15" x14ac:dyDescent="0.25">
      <c r="D25" s="15"/>
      <c r="F25" s="6" t="s">
        <v>13</v>
      </c>
      <c r="G25" s="8">
        <v>0</v>
      </c>
      <c r="H25" s="8">
        <v>1</v>
      </c>
      <c r="I25" s="8">
        <v>0</v>
      </c>
      <c r="J25" s="8">
        <v>0</v>
      </c>
      <c r="K25" s="8">
        <v>0</v>
      </c>
      <c r="L25">
        <f t="shared" si="0"/>
        <v>1</v>
      </c>
      <c r="M25" s="27" t="s">
        <v>41</v>
      </c>
      <c r="N25" s="18"/>
      <c r="O25" s="22">
        <v>1</v>
      </c>
    </row>
    <row r="26" spans="4:15" x14ac:dyDescent="0.25">
      <c r="D26" s="15"/>
      <c r="F26" s="6" t="s">
        <v>19</v>
      </c>
      <c r="G26" s="8">
        <v>1</v>
      </c>
      <c r="H26" s="8">
        <v>0</v>
      </c>
      <c r="I26" s="8">
        <v>0</v>
      </c>
      <c r="J26" s="8">
        <v>0</v>
      </c>
      <c r="K26" s="8">
        <v>0</v>
      </c>
      <c r="L26">
        <f t="shared" si="0"/>
        <v>1</v>
      </c>
      <c r="M26" s="27" t="s">
        <v>41</v>
      </c>
      <c r="N26" s="24"/>
      <c r="O26" s="22">
        <v>1</v>
      </c>
    </row>
    <row r="27" spans="4:15" x14ac:dyDescent="0.25">
      <c r="D27" s="15"/>
      <c r="F27" s="6" t="s">
        <v>27</v>
      </c>
      <c r="G27" s="35">
        <v>0</v>
      </c>
      <c r="H27" s="35">
        <v>0</v>
      </c>
      <c r="I27" s="35">
        <v>1</v>
      </c>
      <c r="J27" s="35">
        <v>0</v>
      </c>
      <c r="K27" s="35">
        <v>0</v>
      </c>
      <c r="L27">
        <f t="shared" si="0"/>
        <v>1</v>
      </c>
      <c r="M27" s="27" t="s">
        <v>41</v>
      </c>
      <c r="N27" s="15"/>
      <c r="O27" s="22">
        <v>1</v>
      </c>
    </row>
    <row r="28" spans="4:15" x14ac:dyDescent="0.25">
      <c r="D28" s="15"/>
      <c r="E28" s="15"/>
      <c r="F28" s="6" t="s">
        <v>40</v>
      </c>
      <c r="G28" s="36">
        <f>SUM(G23:G27)</f>
        <v>1</v>
      </c>
      <c r="H28" s="36">
        <f t="shared" ref="H28" si="1">SUM(H23:H27)</f>
        <v>1</v>
      </c>
      <c r="I28" s="36">
        <f>SUM(I23:I27)</f>
        <v>1</v>
      </c>
      <c r="J28" s="36">
        <f t="shared" ref="J28:K28" si="2">SUM(J23:J27)</f>
        <v>1</v>
      </c>
      <c r="K28" s="36">
        <f t="shared" si="2"/>
        <v>1</v>
      </c>
      <c r="N28" s="15"/>
      <c r="O28" s="15"/>
    </row>
    <row r="29" spans="4:15" x14ac:dyDescent="0.25">
      <c r="D29" s="15"/>
      <c r="E29" s="15"/>
      <c r="F29" s="19"/>
      <c r="G29" s="19"/>
      <c r="H29" s="19"/>
      <c r="I29" s="19"/>
      <c r="L29" s="29" t="s">
        <v>43</v>
      </c>
      <c r="M29" s="29">
        <f>SUMPRODUCT(G11:K15,G23:K27)</f>
        <v>530</v>
      </c>
      <c r="N29" s="26"/>
      <c r="O29" s="24"/>
    </row>
    <row r="30" spans="4:15" x14ac:dyDescent="0.25">
      <c r="D30" s="15"/>
      <c r="E30" s="15"/>
      <c r="F30" s="15"/>
      <c r="G30" s="27" t="s">
        <v>41</v>
      </c>
      <c r="H30" s="27" t="s">
        <v>41</v>
      </c>
      <c r="I30" s="27" t="s">
        <v>41</v>
      </c>
      <c r="J30" s="27" t="s">
        <v>41</v>
      </c>
      <c r="K30" s="27" t="s">
        <v>41</v>
      </c>
      <c r="M30" s="22"/>
      <c r="N30" s="15"/>
      <c r="O30" s="15"/>
    </row>
    <row r="31" spans="4:15" x14ac:dyDescent="0.25">
      <c r="D31" s="15"/>
      <c r="E31" s="15"/>
      <c r="F31" s="22"/>
      <c r="G31" s="22">
        <v>1</v>
      </c>
      <c r="H31" s="22">
        <v>1</v>
      </c>
      <c r="I31" s="22">
        <v>1</v>
      </c>
      <c r="J31" s="22">
        <v>1</v>
      </c>
      <c r="K31" s="22">
        <v>1</v>
      </c>
      <c r="L31" s="22"/>
      <c r="M31" s="22"/>
      <c r="N31" s="15"/>
      <c r="O31" s="15"/>
    </row>
  </sheetData>
  <mergeCells count="1">
    <mergeCell ref="D18:E18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1"/>
  <sheetViews>
    <sheetView workbookViewId="0">
      <selection activeCell="D18" sqref="D18:O31"/>
    </sheetView>
  </sheetViews>
  <sheetFormatPr defaultRowHeight="15" x14ac:dyDescent="0.25"/>
  <cols>
    <col min="1" max="1" width="37" customWidth="1"/>
  </cols>
  <sheetData>
    <row r="1" spans="1:14" ht="26.25" x14ac:dyDescent="0.4">
      <c r="G1" s="1" t="s">
        <v>0</v>
      </c>
    </row>
    <row r="2" spans="1:14" ht="26.25" x14ac:dyDescent="0.4">
      <c r="G2" s="1" t="s">
        <v>28</v>
      </c>
    </row>
    <row r="4" spans="1:14" ht="18.75" x14ac:dyDescent="0.3">
      <c r="A4" s="2" t="s">
        <v>44</v>
      </c>
    </row>
    <row r="5" spans="1:14" ht="18.75" x14ac:dyDescent="0.3">
      <c r="A5" s="2" t="s">
        <v>45</v>
      </c>
    </row>
    <row r="6" spans="1:14" ht="18.75" x14ac:dyDescent="0.3">
      <c r="A6" s="2" t="s">
        <v>46</v>
      </c>
    </row>
    <row r="8" spans="1:14" ht="16.5" thickBot="1" x14ac:dyDescent="0.3">
      <c r="A8" s="3" t="s">
        <v>18</v>
      </c>
    </row>
    <row r="9" spans="1:14" ht="16.5" thickTop="1" thickBot="1" x14ac:dyDescent="0.3">
      <c r="D9" s="4" t="s">
        <v>3</v>
      </c>
      <c r="H9" s="5" t="s">
        <v>36</v>
      </c>
    </row>
    <row r="10" spans="1:14" ht="15.75" thickTop="1" x14ac:dyDescent="0.25">
      <c r="F10" s="6"/>
      <c r="G10" s="6" t="s">
        <v>5</v>
      </c>
      <c r="H10" s="6" t="s">
        <v>6</v>
      </c>
      <c r="I10" s="6" t="s">
        <v>7</v>
      </c>
      <c r="J10" s="6" t="s">
        <v>8</v>
      </c>
      <c r="K10" s="6" t="s">
        <v>22</v>
      </c>
      <c r="L10" s="11"/>
    </row>
    <row r="11" spans="1:14" x14ac:dyDescent="0.25">
      <c r="F11" s="6" t="s">
        <v>10</v>
      </c>
      <c r="G11" s="8">
        <v>3</v>
      </c>
      <c r="H11" s="8">
        <v>5</v>
      </c>
      <c r="I11" s="8">
        <v>10</v>
      </c>
      <c r="J11" s="8">
        <v>15</v>
      </c>
      <c r="K11" s="8">
        <v>8</v>
      </c>
      <c r="L11" s="11"/>
      <c r="M11" s="11"/>
    </row>
    <row r="12" spans="1:14" x14ac:dyDescent="0.25">
      <c r="E12" s="5" t="s">
        <v>34</v>
      </c>
      <c r="F12" s="6" t="s">
        <v>12</v>
      </c>
      <c r="G12" s="8">
        <v>4</v>
      </c>
      <c r="H12" s="8">
        <v>7</v>
      </c>
      <c r="I12" s="8">
        <v>15</v>
      </c>
      <c r="J12" s="8">
        <v>18</v>
      </c>
      <c r="K12" s="8">
        <v>8</v>
      </c>
      <c r="L12" s="11"/>
    </row>
    <row r="13" spans="1:14" x14ac:dyDescent="0.25">
      <c r="F13" s="6" t="s">
        <v>13</v>
      </c>
      <c r="G13" s="8">
        <v>8</v>
      </c>
      <c r="H13" s="8">
        <v>12</v>
      </c>
      <c r="I13" s="8">
        <v>20</v>
      </c>
      <c r="J13" s="8">
        <v>20</v>
      </c>
      <c r="K13" s="8">
        <v>12</v>
      </c>
      <c r="L13" s="11"/>
    </row>
    <row r="14" spans="1:14" x14ac:dyDescent="0.25">
      <c r="F14" s="6" t="s">
        <v>19</v>
      </c>
      <c r="G14" s="8">
        <v>5</v>
      </c>
      <c r="H14" s="8">
        <v>5</v>
      </c>
      <c r="I14" s="8">
        <v>8</v>
      </c>
      <c r="J14" s="8">
        <v>10</v>
      </c>
      <c r="K14" s="8">
        <v>6</v>
      </c>
      <c r="L14" s="11"/>
    </row>
    <row r="15" spans="1:14" x14ac:dyDescent="0.25">
      <c r="F15" s="6" t="s">
        <v>27</v>
      </c>
      <c r="G15" s="8">
        <v>10</v>
      </c>
      <c r="H15" s="8">
        <v>10</v>
      </c>
      <c r="I15" s="8">
        <v>15</v>
      </c>
      <c r="J15" s="8">
        <v>25</v>
      </c>
      <c r="K15" s="8">
        <v>10</v>
      </c>
      <c r="L15" s="11"/>
    </row>
    <row r="16" spans="1:14" x14ac:dyDescent="0.25">
      <c r="N16" s="9"/>
    </row>
    <row r="17" spans="4:15" ht="15.75" thickBot="1" x14ac:dyDescent="0.3">
      <c r="N17" s="9"/>
    </row>
    <row r="18" spans="4:15" ht="16.5" thickTop="1" thickBot="1" x14ac:dyDescent="0.3">
      <c r="D18" s="28" t="s">
        <v>42</v>
      </c>
      <c r="E18" s="28"/>
      <c r="F18" s="15"/>
      <c r="G18" s="15"/>
      <c r="H18" s="15"/>
      <c r="I18" s="15"/>
      <c r="J18" s="15"/>
      <c r="K18" s="15"/>
      <c r="L18" s="15"/>
      <c r="M18" s="15"/>
      <c r="N18" s="15"/>
      <c r="O18" s="15"/>
    </row>
    <row r="19" spans="4:15" ht="15.75" thickTop="1" x14ac:dyDescent="0.25"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</row>
    <row r="20" spans="4:15" x14ac:dyDescent="0.25">
      <c r="D20" s="15"/>
      <c r="E20" s="15"/>
      <c r="F20" s="15"/>
      <c r="G20" s="15"/>
      <c r="H20" s="17"/>
      <c r="I20" s="15"/>
      <c r="J20" s="15"/>
      <c r="K20" s="15"/>
      <c r="L20" s="22"/>
      <c r="M20" s="22"/>
      <c r="N20" s="15"/>
      <c r="O20" s="15"/>
    </row>
    <row r="21" spans="4:15" x14ac:dyDescent="0.25">
      <c r="D21" s="15"/>
      <c r="H21" s="5" t="s">
        <v>36</v>
      </c>
      <c r="O21" s="22"/>
    </row>
    <row r="22" spans="4:15" x14ac:dyDescent="0.25">
      <c r="D22" s="15"/>
      <c r="F22" s="6"/>
      <c r="G22" s="6" t="s">
        <v>5</v>
      </c>
      <c r="H22" s="6" t="s">
        <v>6</v>
      </c>
      <c r="I22" s="6" t="s">
        <v>7</v>
      </c>
      <c r="J22" s="6" t="s">
        <v>8</v>
      </c>
      <c r="K22" s="6" t="s">
        <v>22</v>
      </c>
      <c r="L22" s="25" t="s">
        <v>40</v>
      </c>
      <c r="N22" s="18"/>
      <c r="O22" s="22"/>
    </row>
    <row r="23" spans="4:15" x14ac:dyDescent="0.25">
      <c r="D23" s="15"/>
      <c r="F23" s="6" t="s">
        <v>10</v>
      </c>
      <c r="G23" s="8">
        <v>0</v>
      </c>
      <c r="H23" s="8">
        <v>0</v>
      </c>
      <c r="I23" s="8">
        <v>1</v>
      </c>
      <c r="J23" s="8">
        <v>0</v>
      </c>
      <c r="K23" s="8">
        <v>0</v>
      </c>
      <c r="L23">
        <f>SUM(G23:K23)</f>
        <v>1</v>
      </c>
      <c r="M23" s="39" t="s">
        <v>41</v>
      </c>
      <c r="N23" s="18"/>
      <c r="O23" s="22">
        <v>1</v>
      </c>
    </row>
    <row r="24" spans="4:15" x14ac:dyDescent="0.25">
      <c r="D24" s="15"/>
      <c r="E24" s="5" t="s">
        <v>34</v>
      </c>
      <c r="F24" s="6" t="s">
        <v>12</v>
      </c>
      <c r="G24" s="8">
        <v>0</v>
      </c>
      <c r="H24" s="8">
        <v>1</v>
      </c>
      <c r="I24" s="8">
        <v>0</v>
      </c>
      <c r="J24" s="8">
        <v>0</v>
      </c>
      <c r="K24" s="8">
        <v>0</v>
      </c>
      <c r="L24">
        <f t="shared" ref="L24:L27" si="0">SUM(G24:K24)</f>
        <v>1</v>
      </c>
      <c r="M24" s="27" t="s">
        <v>41</v>
      </c>
      <c r="N24" s="18"/>
      <c r="O24" s="22">
        <v>1</v>
      </c>
    </row>
    <row r="25" spans="4:15" x14ac:dyDescent="0.25">
      <c r="D25" s="15"/>
      <c r="F25" s="6" t="s">
        <v>13</v>
      </c>
      <c r="G25" s="8">
        <v>1</v>
      </c>
      <c r="H25" s="8">
        <v>0</v>
      </c>
      <c r="I25" s="8">
        <v>0</v>
      </c>
      <c r="J25" s="8">
        <v>0</v>
      </c>
      <c r="K25" s="8">
        <v>0</v>
      </c>
      <c r="L25">
        <f t="shared" si="0"/>
        <v>1</v>
      </c>
      <c r="M25" s="27" t="s">
        <v>41</v>
      </c>
      <c r="N25" s="18"/>
      <c r="O25" s="22">
        <v>1</v>
      </c>
    </row>
    <row r="26" spans="4:15" x14ac:dyDescent="0.25">
      <c r="D26" s="15"/>
      <c r="F26" s="6" t="s">
        <v>19</v>
      </c>
      <c r="G26" s="8">
        <v>0</v>
      </c>
      <c r="H26" s="8">
        <v>0</v>
      </c>
      <c r="I26" s="8">
        <v>0</v>
      </c>
      <c r="J26" s="8">
        <v>1</v>
      </c>
      <c r="K26" s="8">
        <v>0</v>
      </c>
      <c r="L26">
        <f t="shared" si="0"/>
        <v>1</v>
      </c>
      <c r="M26" s="27" t="s">
        <v>41</v>
      </c>
      <c r="N26" s="24"/>
      <c r="O26" s="22">
        <v>1</v>
      </c>
    </row>
    <row r="27" spans="4:15" x14ac:dyDescent="0.25">
      <c r="D27" s="15"/>
      <c r="F27" s="6" t="s">
        <v>27</v>
      </c>
      <c r="G27" s="35">
        <v>0</v>
      </c>
      <c r="H27" s="35">
        <v>0</v>
      </c>
      <c r="I27" s="35">
        <v>0</v>
      </c>
      <c r="J27" s="35">
        <v>0</v>
      </c>
      <c r="K27" s="35">
        <v>1</v>
      </c>
      <c r="L27">
        <f t="shared" si="0"/>
        <v>1</v>
      </c>
      <c r="M27" s="27" t="s">
        <v>41</v>
      </c>
      <c r="N27" s="15"/>
      <c r="O27" s="22">
        <v>1</v>
      </c>
    </row>
    <row r="28" spans="4:15" x14ac:dyDescent="0.25">
      <c r="D28" s="15"/>
      <c r="E28" s="15"/>
      <c r="F28" s="6" t="s">
        <v>40</v>
      </c>
      <c r="G28" s="36">
        <f>SUM(G23:G27)</f>
        <v>1</v>
      </c>
      <c r="H28" s="36">
        <f t="shared" ref="H28" si="1">SUM(H23:H27)</f>
        <v>1</v>
      </c>
      <c r="I28" s="36">
        <f>SUM(I23:I27)</f>
        <v>1</v>
      </c>
      <c r="J28" s="36">
        <f t="shared" ref="J28:K28" si="2">SUM(J23:J27)</f>
        <v>1</v>
      </c>
      <c r="K28" s="36">
        <f t="shared" si="2"/>
        <v>1</v>
      </c>
      <c r="N28" s="15"/>
      <c r="O28" s="15"/>
    </row>
    <row r="29" spans="4:15" x14ac:dyDescent="0.25">
      <c r="D29" s="15"/>
      <c r="E29" s="15"/>
      <c r="F29" s="19"/>
      <c r="G29" s="19"/>
      <c r="H29" s="19"/>
      <c r="I29" s="19"/>
      <c r="L29" s="29" t="s">
        <v>43</v>
      </c>
      <c r="M29" s="29">
        <f>SUMPRODUCT(G11:K15,G23:K27)</f>
        <v>45</v>
      </c>
      <c r="N29" s="26"/>
      <c r="O29" s="24"/>
    </row>
    <row r="30" spans="4:15" x14ac:dyDescent="0.25">
      <c r="D30" s="15"/>
      <c r="E30" s="15"/>
      <c r="F30" s="15"/>
      <c r="G30" s="27" t="s">
        <v>41</v>
      </c>
      <c r="H30" s="27" t="s">
        <v>41</v>
      </c>
      <c r="I30" s="27" t="s">
        <v>41</v>
      </c>
      <c r="J30" s="27" t="s">
        <v>41</v>
      </c>
      <c r="K30" s="27" t="s">
        <v>41</v>
      </c>
      <c r="M30" s="22"/>
      <c r="N30" s="15"/>
      <c r="O30" s="15"/>
    </row>
    <row r="31" spans="4:15" x14ac:dyDescent="0.25">
      <c r="D31" s="15"/>
      <c r="E31" s="15"/>
      <c r="F31" s="22"/>
      <c r="G31" s="22">
        <v>1</v>
      </c>
      <c r="H31" s="22">
        <v>1</v>
      </c>
      <c r="I31" s="22">
        <v>1</v>
      </c>
      <c r="J31" s="22">
        <v>1</v>
      </c>
      <c r="K31" s="22">
        <v>1</v>
      </c>
      <c r="L31" s="22"/>
      <c r="M31" s="22"/>
      <c r="N31" s="15"/>
      <c r="O31" s="15"/>
    </row>
  </sheetData>
  <mergeCells count="1">
    <mergeCell ref="D18:E18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1"/>
  <sheetViews>
    <sheetView topLeftCell="A2" workbookViewId="0">
      <selection activeCell="S23" sqref="S23"/>
    </sheetView>
  </sheetViews>
  <sheetFormatPr defaultRowHeight="15" x14ac:dyDescent="0.25"/>
  <cols>
    <col min="1" max="1" width="36.7109375" customWidth="1"/>
  </cols>
  <sheetData>
    <row r="1" spans="1:14" ht="26.25" x14ac:dyDescent="0.4">
      <c r="G1" s="1" t="s">
        <v>0</v>
      </c>
    </row>
    <row r="2" spans="1:14" ht="26.25" x14ac:dyDescent="0.4">
      <c r="G2" s="1" t="s">
        <v>28</v>
      </c>
    </row>
    <row r="4" spans="1:14" ht="18.75" x14ac:dyDescent="0.3">
      <c r="A4" s="2" t="s">
        <v>44</v>
      </c>
    </row>
    <row r="5" spans="1:14" ht="18.75" x14ac:dyDescent="0.3">
      <c r="A5" s="2" t="s">
        <v>45</v>
      </c>
    </row>
    <row r="6" spans="1:14" ht="18.75" x14ac:dyDescent="0.3">
      <c r="A6" s="2" t="s">
        <v>46</v>
      </c>
    </row>
    <row r="8" spans="1:14" ht="16.5" thickBot="1" x14ac:dyDescent="0.3">
      <c r="A8" s="3" t="s">
        <v>20</v>
      </c>
    </row>
    <row r="9" spans="1:14" ht="16.5" thickTop="1" thickBot="1" x14ac:dyDescent="0.3">
      <c r="D9" s="4" t="s">
        <v>3</v>
      </c>
      <c r="H9" s="5" t="s">
        <v>33</v>
      </c>
    </row>
    <row r="10" spans="1:14" ht="15.75" thickTop="1" x14ac:dyDescent="0.25">
      <c r="F10" s="6"/>
      <c r="G10" s="6" t="s">
        <v>5</v>
      </c>
      <c r="H10" s="6" t="s">
        <v>6</v>
      </c>
      <c r="I10" s="6" t="s">
        <v>7</v>
      </c>
      <c r="J10" s="6" t="s">
        <v>8</v>
      </c>
      <c r="K10" s="6" t="s">
        <v>22</v>
      </c>
      <c r="L10" s="11"/>
    </row>
    <row r="11" spans="1:14" x14ac:dyDescent="0.25">
      <c r="F11" s="6" t="s">
        <v>10</v>
      </c>
      <c r="G11" s="8">
        <v>11</v>
      </c>
      <c r="H11" s="8">
        <v>17</v>
      </c>
      <c r="I11" s="8">
        <v>8</v>
      </c>
      <c r="J11" s="8">
        <v>16</v>
      </c>
      <c r="K11" s="8">
        <v>20</v>
      </c>
      <c r="L11" s="11"/>
      <c r="M11" s="11"/>
    </row>
    <row r="12" spans="1:14" x14ac:dyDescent="0.25">
      <c r="E12" s="5" t="s">
        <v>35</v>
      </c>
      <c r="F12" s="6" t="s">
        <v>12</v>
      </c>
      <c r="G12" s="8">
        <v>9</v>
      </c>
      <c r="H12" s="8">
        <v>7</v>
      </c>
      <c r="I12" s="8">
        <v>12</v>
      </c>
      <c r="J12" s="8">
        <v>6</v>
      </c>
      <c r="K12" s="8">
        <v>15</v>
      </c>
      <c r="L12" s="11"/>
    </row>
    <row r="13" spans="1:14" x14ac:dyDescent="0.25">
      <c r="F13" s="6" t="s">
        <v>13</v>
      </c>
      <c r="G13" s="8">
        <v>13</v>
      </c>
      <c r="H13" s="8">
        <v>16</v>
      </c>
      <c r="I13" s="8">
        <v>15</v>
      </c>
      <c r="J13" s="8">
        <v>12</v>
      </c>
      <c r="K13" s="8">
        <v>16</v>
      </c>
      <c r="L13" s="11"/>
    </row>
    <row r="14" spans="1:14" x14ac:dyDescent="0.25">
      <c r="F14" s="6" t="s">
        <v>19</v>
      </c>
      <c r="G14" s="8">
        <v>21</v>
      </c>
      <c r="H14" s="8">
        <v>24</v>
      </c>
      <c r="I14" s="8">
        <v>17</v>
      </c>
      <c r="J14" s="8">
        <v>28</v>
      </c>
      <c r="K14" s="8">
        <v>26</v>
      </c>
      <c r="L14" s="11"/>
    </row>
    <row r="15" spans="1:14" x14ac:dyDescent="0.25">
      <c r="F15" s="6" t="s">
        <v>27</v>
      </c>
      <c r="G15" s="8">
        <v>14</v>
      </c>
      <c r="H15" s="8">
        <v>10</v>
      </c>
      <c r="I15" s="8">
        <v>15</v>
      </c>
      <c r="J15" s="8">
        <v>25</v>
      </c>
      <c r="K15" s="8">
        <v>10</v>
      </c>
      <c r="L15" s="11"/>
    </row>
    <row r="16" spans="1:14" x14ac:dyDescent="0.25">
      <c r="N16" s="9"/>
    </row>
    <row r="17" spans="4:15" ht="15.75" thickBot="1" x14ac:dyDescent="0.3">
      <c r="N17" s="9"/>
    </row>
    <row r="18" spans="4:15" ht="16.5" thickTop="1" thickBot="1" x14ac:dyDescent="0.3">
      <c r="D18" s="28" t="s">
        <v>42</v>
      </c>
      <c r="E18" s="28"/>
      <c r="F18" s="15"/>
      <c r="G18" s="15"/>
      <c r="H18" s="15"/>
      <c r="I18" s="15"/>
      <c r="J18" s="15"/>
      <c r="K18" s="15"/>
      <c r="L18" s="15"/>
      <c r="M18" s="15"/>
      <c r="N18" s="15"/>
      <c r="O18" s="15"/>
    </row>
    <row r="19" spans="4:15" ht="15.75" thickTop="1" x14ac:dyDescent="0.25"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</row>
    <row r="20" spans="4:15" x14ac:dyDescent="0.25">
      <c r="D20" s="15"/>
      <c r="E20" s="15"/>
      <c r="F20" s="15"/>
      <c r="G20" s="15"/>
      <c r="H20" s="17"/>
      <c r="I20" s="15"/>
      <c r="J20" s="15"/>
      <c r="K20" s="15"/>
      <c r="L20" s="22"/>
      <c r="M20" s="22"/>
      <c r="N20" s="15"/>
      <c r="O20" s="15"/>
    </row>
    <row r="21" spans="4:15" x14ac:dyDescent="0.25">
      <c r="D21" s="15"/>
      <c r="H21" s="5" t="s">
        <v>36</v>
      </c>
      <c r="O21" s="22"/>
    </row>
    <row r="22" spans="4:15" x14ac:dyDescent="0.25">
      <c r="D22" s="15"/>
      <c r="F22" s="6"/>
      <c r="G22" s="6" t="s">
        <v>5</v>
      </c>
      <c r="H22" s="6" t="s">
        <v>6</v>
      </c>
      <c r="I22" s="6" t="s">
        <v>7</v>
      </c>
      <c r="J22" s="6" t="s">
        <v>8</v>
      </c>
      <c r="K22" s="6" t="s">
        <v>22</v>
      </c>
      <c r="L22" s="25" t="s">
        <v>40</v>
      </c>
      <c r="N22" s="18"/>
      <c r="O22" s="22"/>
    </row>
    <row r="23" spans="4:15" x14ac:dyDescent="0.25">
      <c r="D23" s="15"/>
      <c r="F23" s="6" t="s">
        <v>10</v>
      </c>
      <c r="G23" s="8">
        <v>1</v>
      </c>
      <c r="H23" s="8">
        <v>0</v>
      </c>
      <c r="I23" s="8">
        <v>0</v>
      </c>
      <c r="J23" s="8">
        <v>0</v>
      </c>
      <c r="K23" s="8">
        <v>0</v>
      </c>
      <c r="L23">
        <f>SUM(G23:K23)</f>
        <v>1</v>
      </c>
      <c r="M23" s="39" t="s">
        <v>41</v>
      </c>
      <c r="N23" s="18"/>
      <c r="O23" s="22">
        <v>1</v>
      </c>
    </row>
    <row r="24" spans="4:15" x14ac:dyDescent="0.25">
      <c r="D24" s="15"/>
      <c r="E24" s="5" t="s">
        <v>34</v>
      </c>
      <c r="F24" s="6" t="s">
        <v>12</v>
      </c>
      <c r="G24" s="8">
        <v>0</v>
      </c>
      <c r="H24" s="8">
        <v>1</v>
      </c>
      <c r="I24" s="8">
        <v>0</v>
      </c>
      <c r="J24" s="8">
        <v>0</v>
      </c>
      <c r="K24" s="8">
        <v>0</v>
      </c>
      <c r="L24">
        <f t="shared" ref="L24:L27" si="0">SUM(G24:K24)</f>
        <v>1</v>
      </c>
      <c r="M24" s="27" t="s">
        <v>41</v>
      </c>
      <c r="N24" s="18"/>
      <c r="O24" s="22">
        <v>1</v>
      </c>
    </row>
    <row r="25" spans="4:15" x14ac:dyDescent="0.25">
      <c r="D25" s="15"/>
      <c r="F25" s="6" t="s">
        <v>13</v>
      </c>
      <c r="G25" s="8">
        <v>0</v>
      </c>
      <c r="H25" s="8">
        <v>0</v>
      </c>
      <c r="I25" s="8">
        <v>0</v>
      </c>
      <c r="J25" s="8">
        <v>1</v>
      </c>
      <c r="K25" s="8">
        <v>0</v>
      </c>
      <c r="L25">
        <f t="shared" si="0"/>
        <v>1</v>
      </c>
      <c r="M25" s="27" t="s">
        <v>41</v>
      </c>
      <c r="N25" s="18"/>
      <c r="O25" s="22">
        <v>1</v>
      </c>
    </row>
    <row r="26" spans="4:15" x14ac:dyDescent="0.25">
      <c r="D26" s="15"/>
      <c r="F26" s="6" t="s">
        <v>19</v>
      </c>
      <c r="G26" s="8">
        <v>0</v>
      </c>
      <c r="H26" s="8">
        <v>0</v>
      </c>
      <c r="I26" s="8">
        <v>1</v>
      </c>
      <c r="J26" s="8">
        <v>0</v>
      </c>
      <c r="K26" s="8">
        <v>0</v>
      </c>
      <c r="L26">
        <f t="shared" si="0"/>
        <v>1</v>
      </c>
      <c r="M26" s="27" t="s">
        <v>41</v>
      </c>
      <c r="N26" s="24"/>
      <c r="O26" s="22">
        <v>1</v>
      </c>
    </row>
    <row r="27" spans="4:15" x14ac:dyDescent="0.25">
      <c r="D27" s="15"/>
      <c r="F27" s="6" t="s">
        <v>27</v>
      </c>
      <c r="G27" s="35">
        <v>0</v>
      </c>
      <c r="H27" s="35">
        <v>0</v>
      </c>
      <c r="I27" s="35">
        <v>0</v>
      </c>
      <c r="J27" s="35">
        <v>0</v>
      </c>
      <c r="K27" s="35">
        <v>1</v>
      </c>
      <c r="L27">
        <f t="shared" si="0"/>
        <v>1</v>
      </c>
      <c r="M27" s="27" t="s">
        <v>41</v>
      </c>
      <c r="N27" s="15"/>
      <c r="O27" s="22">
        <v>1</v>
      </c>
    </row>
    <row r="28" spans="4:15" x14ac:dyDescent="0.25">
      <c r="D28" s="15"/>
      <c r="E28" s="15"/>
      <c r="F28" s="6" t="s">
        <v>40</v>
      </c>
      <c r="G28" s="36">
        <f>SUM(G23:G27)</f>
        <v>1</v>
      </c>
      <c r="H28" s="36">
        <f t="shared" ref="H28" si="1">SUM(H23:H27)</f>
        <v>1</v>
      </c>
      <c r="I28" s="36">
        <f>SUM(I23:I27)</f>
        <v>1</v>
      </c>
      <c r="J28" s="36">
        <f t="shared" ref="J28:K28" si="2">SUM(J23:J27)</f>
        <v>1</v>
      </c>
      <c r="K28" s="36">
        <f t="shared" si="2"/>
        <v>1</v>
      </c>
      <c r="N28" s="15"/>
      <c r="O28" s="15"/>
    </row>
    <row r="29" spans="4:15" x14ac:dyDescent="0.25">
      <c r="D29" s="15"/>
      <c r="E29" s="15"/>
      <c r="F29" s="19"/>
      <c r="G29" s="19"/>
      <c r="H29" s="19"/>
      <c r="I29" s="19"/>
      <c r="L29" s="29" t="s">
        <v>43</v>
      </c>
      <c r="M29" s="29">
        <f>SUMPRODUCT(G11:K15,G23:K27)</f>
        <v>57</v>
      </c>
      <c r="N29" s="26"/>
      <c r="O29" s="24"/>
    </row>
    <row r="30" spans="4:15" x14ac:dyDescent="0.25">
      <c r="D30" s="15"/>
      <c r="E30" s="15"/>
      <c r="F30" s="15"/>
      <c r="G30" s="27" t="s">
        <v>41</v>
      </c>
      <c r="H30" s="27" t="s">
        <v>41</v>
      </c>
      <c r="I30" s="27" t="s">
        <v>41</v>
      </c>
      <c r="J30" s="27" t="s">
        <v>41</v>
      </c>
      <c r="K30" s="27" t="s">
        <v>41</v>
      </c>
      <c r="M30" s="22"/>
      <c r="N30" s="15"/>
      <c r="O30" s="15"/>
    </row>
    <row r="31" spans="4:15" x14ac:dyDescent="0.25">
      <c r="D31" s="15"/>
      <c r="E31" s="15"/>
      <c r="F31" s="22"/>
      <c r="G31" s="22">
        <v>1</v>
      </c>
      <c r="H31" s="22">
        <v>1</v>
      </c>
      <c r="I31" s="22">
        <v>1</v>
      </c>
      <c r="J31" s="22">
        <v>1</v>
      </c>
      <c r="K31" s="22">
        <v>1</v>
      </c>
      <c r="L31" s="22"/>
      <c r="M31" s="22"/>
      <c r="N31" s="15"/>
      <c r="O31" s="15"/>
    </row>
  </sheetData>
  <mergeCells count="1">
    <mergeCell ref="D18:E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4</vt:i4>
      </vt:variant>
    </vt:vector>
  </HeadingPairs>
  <TitlesOfParts>
    <vt:vector size="20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'1'!solver_lhs3</vt:lpstr>
      <vt:lpstr>'1'!solver_lhs4</vt:lpstr>
      <vt:lpstr>'1'!solver_rhs3</vt:lpstr>
      <vt:lpstr>'1'!solver_rhs4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LAB102</dc:creator>
  <cp:lastModifiedBy>RMC1</cp:lastModifiedBy>
  <dcterms:created xsi:type="dcterms:W3CDTF">2024-03-12T08:07:00Z</dcterms:created>
  <dcterms:modified xsi:type="dcterms:W3CDTF">2025-09-09T06:47:20Z</dcterms:modified>
</cp:coreProperties>
</file>