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11760"/>
  </bookViews>
  <sheets>
    <sheet name="1" sheetId="1" r:id="rId1"/>
    <sheet name="2" sheetId="2" r:id="rId2"/>
    <sheet name="3" sheetId="4" r:id="rId3"/>
    <sheet name="4" sheetId="5" r:id="rId4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5" l="1"/>
  <c r="I23" i="5"/>
  <c r="H23" i="5"/>
  <c r="G23" i="5"/>
  <c r="F23" i="5"/>
  <c r="E23" i="5"/>
  <c r="J22" i="5"/>
  <c r="J21" i="5"/>
  <c r="J20" i="5"/>
  <c r="J19" i="5"/>
  <c r="J18" i="5"/>
  <c r="L20" i="1"/>
  <c r="K22" i="2"/>
  <c r="K22" i="4" l="1"/>
  <c r="I19" i="1" l="1"/>
  <c r="H19" i="1"/>
  <c r="G19" i="1"/>
  <c r="F19" i="1"/>
  <c r="E19" i="1"/>
  <c r="J18" i="1"/>
  <c r="J17" i="1"/>
  <c r="J16" i="1"/>
  <c r="J15" i="1"/>
  <c r="J14" i="1"/>
</calcChain>
</file>

<file path=xl/sharedStrings.xml><?xml version="1.0" encoding="utf-8"?>
<sst xmlns="http://schemas.openxmlformats.org/spreadsheetml/2006/main" count="188" uniqueCount="34">
  <si>
    <t xml:space="preserve">     Assignee:-</t>
  </si>
  <si>
    <t>Kvaal</t>
  </si>
  <si>
    <t>Zuner</t>
  </si>
  <si>
    <t>Tsai</t>
  </si>
  <si>
    <t>Mickey</t>
  </si>
  <si>
    <t>Rollins</t>
  </si>
  <si>
    <t>Assignment Problem</t>
  </si>
  <si>
    <t>Up</t>
  </si>
  <si>
    <t>Stable</t>
  </si>
  <si>
    <t>Task</t>
  </si>
  <si>
    <t>Choice</t>
  </si>
  <si>
    <t>Hope</t>
  </si>
  <si>
    <t>Release</t>
  </si>
  <si>
    <t>=</t>
  </si>
  <si>
    <t>Unit 3 ( Case Study )</t>
  </si>
  <si>
    <t xml:space="preserve">Total Optimal Cost </t>
  </si>
  <si>
    <t xml:space="preserve">Total   </t>
  </si>
  <si>
    <t xml:space="preserve">Total </t>
  </si>
  <si>
    <t>Question -1</t>
  </si>
  <si>
    <t xml:space="preserve">solution - </t>
  </si>
  <si>
    <t>Supply</t>
  </si>
  <si>
    <t>Assignee</t>
  </si>
  <si>
    <t>Demand</t>
  </si>
  <si>
    <t>Assignments</t>
  </si>
  <si>
    <t>Totals</t>
  </si>
  <si>
    <t xml:space="preserve">TOTAL  </t>
  </si>
  <si>
    <t>Question -3</t>
  </si>
  <si>
    <t>Question -2</t>
  </si>
  <si>
    <t>Question -4</t>
  </si>
  <si>
    <t>Points</t>
  </si>
  <si>
    <t>dummy</t>
  </si>
  <si>
    <t>Name - Ratnesh Kumar</t>
  </si>
  <si>
    <t>Course - B.Sc. (Hons) Computer Science</t>
  </si>
  <si>
    <t>Roll No. -  20231432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</si>
</sst>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8" fillId="0" borderId="0"/>
  </cellStyleXfs>
  <cellXfs count="69">
    <xf numFmtId="0" fontId="0" fillId="0" borderId="0" xfId="0"/>
    <xf numFmtId="0" fontId="5" fillId="0" borderId="0" xfId="0" applyFont="1"/>
    <xf numFmtId="0" fontId="9" fillId="7" borderId="0" xfId="7" applyFont="1" applyFill="1" applyAlignment="1">
      <alignment horizontal="center"/>
    </xf>
    <xf numFmtId="0" fontId="9" fillId="7" borderId="3" xfId="7" applyFont="1" applyFill="1" applyBorder="1" applyAlignment="1">
      <alignment horizontal="left"/>
    </xf>
    <xf numFmtId="0" fontId="10" fillId="3" borderId="4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1" fillId="0" borderId="0" xfId="0" applyFont="1"/>
    <xf numFmtId="0" fontId="10" fillId="3" borderId="7" xfId="2" applyFont="1" applyBorder="1" applyAlignment="1">
      <alignment horizontal="center"/>
    </xf>
    <xf numFmtId="0" fontId="10" fillId="3" borderId="0" xfId="2" applyFont="1" applyBorder="1" applyAlignment="1">
      <alignment horizontal="center"/>
    </xf>
    <xf numFmtId="0" fontId="10" fillId="3" borderId="8" xfId="2" applyFont="1" applyBorder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1" fontId="10" fillId="3" borderId="7" xfId="2" applyNumberFormat="1" applyFont="1" applyBorder="1" applyAlignment="1">
      <alignment horizontal="center"/>
    </xf>
    <xf numFmtId="1" fontId="10" fillId="3" borderId="0" xfId="2" applyNumberFormat="1" applyFont="1" applyBorder="1" applyAlignment="1">
      <alignment horizontal="center"/>
    </xf>
    <xf numFmtId="1" fontId="10" fillId="3" borderId="8" xfId="2" applyNumberFormat="1" applyFont="1" applyBorder="1" applyAlignment="1">
      <alignment horizontal="center"/>
    </xf>
    <xf numFmtId="1" fontId="10" fillId="3" borderId="9" xfId="2" applyNumberFormat="1" applyFont="1" applyBorder="1" applyAlignment="1">
      <alignment horizontal="center"/>
    </xf>
    <xf numFmtId="1" fontId="10" fillId="3" borderId="10" xfId="2" applyNumberFormat="1" applyFont="1" applyBorder="1" applyAlignment="1">
      <alignment horizontal="center"/>
    </xf>
    <xf numFmtId="1" fontId="10" fillId="3" borderId="11" xfId="2" applyNumberFormat="1" applyFont="1" applyBorder="1" applyAlignment="1">
      <alignment horizontal="center"/>
    </xf>
    <xf numFmtId="0" fontId="13" fillId="4" borderId="4" xfId="3" applyFont="1" applyBorder="1" applyAlignment="1">
      <alignment horizontal="center"/>
    </xf>
    <xf numFmtId="0" fontId="13" fillId="4" borderId="5" xfId="3" applyFont="1" applyBorder="1" applyAlignment="1">
      <alignment horizontal="center"/>
    </xf>
    <xf numFmtId="0" fontId="13" fillId="4" borderId="6" xfId="3" applyFont="1" applyBorder="1" applyAlignment="1">
      <alignment horizontal="center"/>
    </xf>
    <xf numFmtId="0" fontId="14" fillId="2" borderId="0" xfId="1" applyFont="1" applyAlignment="1">
      <alignment horizontal="center"/>
    </xf>
    <xf numFmtId="0" fontId="13" fillId="4" borderId="7" xfId="3" applyFont="1" applyBorder="1" applyAlignment="1">
      <alignment horizontal="center"/>
    </xf>
    <xf numFmtId="0" fontId="13" fillId="4" borderId="0" xfId="3" applyFont="1" applyBorder="1" applyAlignment="1">
      <alignment horizontal="center"/>
    </xf>
    <xf numFmtId="0" fontId="13" fillId="4" borderId="8" xfId="3" applyFont="1" applyBorder="1" applyAlignment="1">
      <alignment horizontal="center"/>
    </xf>
    <xf numFmtId="0" fontId="13" fillId="4" borderId="9" xfId="3" applyFont="1" applyBorder="1" applyAlignment="1">
      <alignment horizontal="center"/>
    </xf>
    <xf numFmtId="0" fontId="13" fillId="4" borderId="10" xfId="3" applyFont="1" applyBorder="1" applyAlignment="1">
      <alignment horizontal="center"/>
    </xf>
    <xf numFmtId="0" fontId="13" fillId="4" borderId="11" xfId="3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  <xf numFmtId="0" fontId="6" fillId="5" borderId="0" xfId="5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3" borderId="4" xfId="2" applyFont="1" applyBorder="1" applyAlignment="1">
      <alignment horizontal="center"/>
    </xf>
    <xf numFmtId="0" fontId="18" fillId="3" borderId="5" xfId="2" applyFont="1" applyBorder="1" applyAlignment="1">
      <alignment horizontal="center"/>
    </xf>
    <xf numFmtId="0" fontId="18" fillId="3" borderId="6" xfId="2" applyFont="1" applyBorder="1" applyAlignment="1">
      <alignment horizontal="center"/>
    </xf>
    <xf numFmtId="0" fontId="18" fillId="3" borderId="7" xfId="2" applyFont="1" applyBorder="1" applyAlignment="1">
      <alignment horizontal="center"/>
    </xf>
    <xf numFmtId="0" fontId="18" fillId="3" borderId="0" xfId="2" applyFont="1" applyBorder="1" applyAlignment="1">
      <alignment horizontal="center"/>
    </xf>
    <xf numFmtId="0" fontId="18" fillId="3" borderId="8" xfId="2" applyFont="1" applyBorder="1" applyAlignment="1">
      <alignment horizontal="center"/>
    </xf>
    <xf numFmtId="1" fontId="18" fillId="3" borderId="7" xfId="2" applyNumberFormat="1" applyFont="1" applyBorder="1" applyAlignment="1">
      <alignment horizontal="center"/>
    </xf>
    <xf numFmtId="1" fontId="18" fillId="3" borderId="0" xfId="2" applyNumberFormat="1" applyFont="1" applyBorder="1" applyAlignment="1">
      <alignment horizontal="center"/>
    </xf>
    <xf numFmtId="1" fontId="18" fillId="3" borderId="8" xfId="2" applyNumberFormat="1" applyFont="1" applyBorder="1" applyAlignment="1">
      <alignment horizontal="center"/>
    </xf>
    <xf numFmtId="1" fontId="18" fillId="3" borderId="9" xfId="2" applyNumberFormat="1" applyFont="1" applyBorder="1" applyAlignment="1">
      <alignment horizontal="center"/>
    </xf>
    <xf numFmtId="1" fontId="18" fillId="3" borderId="10" xfId="2" applyNumberFormat="1" applyFont="1" applyBorder="1" applyAlignment="1">
      <alignment horizontal="center"/>
    </xf>
    <xf numFmtId="1" fontId="18" fillId="3" borderId="11" xfId="2" applyNumberFormat="1" applyFont="1" applyBorder="1" applyAlignment="1">
      <alignment horizontal="center"/>
    </xf>
    <xf numFmtId="0" fontId="20" fillId="4" borderId="0" xfId="3" applyFont="1" applyBorder="1" applyAlignment="1">
      <alignment horizontal="center"/>
    </xf>
    <xf numFmtId="1" fontId="20" fillId="4" borderId="0" xfId="3" applyNumberFormat="1" applyFont="1" applyBorder="1" applyAlignment="1">
      <alignment horizontal="center"/>
    </xf>
    <xf numFmtId="0" fontId="20" fillId="4" borderId="4" xfId="3" applyFont="1" applyBorder="1" applyAlignment="1">
      <alignment horizontal="center"/>
    </xf>
    <xf numFmtId="0" fontId="20" fillId="4" borderId="5" xfId="3" applyFont="1" applyBorder="1" applyAlignment="1">
      <alignment horizontal="center"/>
    </xf>
    <xf numFmtId="0" fontId="20" fillId="4" borderId="6" xfId="3" applyFont="1" applyBorder="1" applyAlignment="1">
      <alignment horizontal="center"/>
    </xf>
    <xf numFmtId="0" fontId="20" fillId="4" borderId="7" xfId="3" applyFont="1" applyBorder="1" applyAlignment="1">
      <alignment horizontal="center"/>
    </xf>
    <xf numFmtId="0" fontId="20" fillId="4" borderId="8" xfId="3" applyFont="1" applyBorder="1" applyAlignment="1">
      <alignment horizontal="center"/>
    </xf>
    <xf numFmtId="1" fontId="20" fillId="4" borderId="7" xfId="3" applyNumberFormat="1" applyFont="1" applyBorder="1" applyAlignment="1">
      <alignment horizontal="center"/>
    </xf>
    <xf numFmtId="1" fontId="20" fillId="4" borderId="8" xfId="3" applyNumberFormat="1" applyFont="1" applyBorder="1" applyAlignment="1">
      <alignment horizontal="center"/>
    </xf>
    <xf numFmtId="1" fontId="20" fillId="4" borderId="9" xfId="3" applyNumberFormat="1" applyFont="1" applyBorder="1" applyAlignment="1">
      <alignment horizontal="center"/>
    </xf>
    <xf numFmtId="1" fontId="20" fillId="4" borderId="10" xfId="3" applyNumberFormat="1" applyFont="1" applyBorder="1" applyAlignment="1">
      <alignment horizontal="center"/>
    </xf>
    <xf numFmtId="1" fontId="20" fillId="4" borderId="11" xfId="3" applyNumberFormat="1" applyFont="1" applyBorder="1" applyAlignment="1">
      <alignment horizontal="center"/>
    </xf>
    <xf numFmtId="0" fontId="4" fillId="4" borderId="1" xfId="4" applyAlignment="1">
      <alignment horizontal="center"/>
    </xf>
    <xf numFmtId="0" fontId="4" fillId="4" borderId="1" xfId="4" applyAlignment="1">
      <alignment horizontal="left"/>
    </xf>
    <xf numFmtId="0" fontId="4" fillId="4" borderId="1" xfId="4"/>
    <xf numFmtId="0" fontId="19" fillId="7" borderId="0" xfId="0" applyFont="1" applyFill="1" applyAlignment="1">
      <alignment horizontal="center"/>
    </xf>
    <xf numFmtId="0" fontId="19" fillId="7" borderId="0" xfId="0" applyFont="1" applyFill="1" applyAlignment="1">
      <alignment horizontal="left"/>
    </xf>
    <xf numFmtId="0" fontId="21" fillId="4" borderId="2" xfId="3" applyFont="1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</cellXfs>
  <cellStyles count="8">
    <cellStyle name="Accent2" xfId="5" builtinId="33"/>
    <cellStyle name="Accent6" xfId="6" builtinId="49"/>
    <cellStyle name="Calculation" xfId="4" builtinId="22"/>
    <cellStyle name="Good" xfId="1" builtinId="26"/>
    <cellStyle name="Input" xfId="2" builtinId="20"/>
    <cellStyle name="Normal" xfId="0" builtinId="0"/>
    <cellStyle name="Normal 2" xfId="7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02" workbookViewId="0">
      <selection activeCell="A5" sqref="A5:A7"/>
    </sheetView>
  </sheetViews>
  <sheetFormatPr defaultRowHeight="15" x14ac:dyDescent="0.25"/>
  <cols>
    <col min="1" max="1" width="53.140625" bestFit="1" customWidth="1"/>
  </cols>
  <sheetData>
    <row r="1" spans="1:15" ht="15.75" x14ac:dyDescent="0.25">
      <c r="D1" s="67" t="s">
        <v>14</v>
      </c>
      <c r="E1" s="67"/>
      <c r="F1" s="67"/>
    </row>
    <row r="2" spans="1:15" ht="15.75" x14ac:dyDescent="0.25">
      <c r="D2" s="67" t="s">
        <v>6</v>
      </c>
      <c r="E2" s="67"/>
      <c r="F2" s="67"/>
    </row>
    <row r="5" spans="1:15" ht="21.75" thickBot="1" x14ac:dyDescent="0.4">
      <c r="A5" s="33" t="s">
        <v>31</v>
      </c>
      <c r="C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</row>
    <row r="6" spans="1:15" ht="21" x14ac:dyDescent="0.35">
      <c r="A6" s="33" t="s">
        <v>32</v>
      </c>
      <c r="D6" s="1" t="s">
        <v>7</v>
      </c>
      <c r="E6" s="4">
        <v>100</v>
      </c>
      <c r="F6" s="5">
        <v>0</v>
      </c>
      <c r="G6" s="5">
        <v>100</v>
      </c>
      <c r="H6" s="5">
        <v>267</v>
      </c>
      <c r="I6" s="6">
        <v>100</v>
      </c>
      <c r="O6" s="7"/>
    </row>
    <row r="7" spans="1:15" ht="21" x14ac:dyDescent="0.35">
      <c r="A7" s="33" t="s">
        <v>33</v>
      </c>
      <c r="D7" s="1" t="s">
        <v>8</v>
      </c>
      <c r="E7" s="8">
        <v>400</v>
      </c>
      <c r="F7" s="9">
        <v>200</v>
      </c>
      <c r="G7" s="9">
        <v>100</v>
      </c>
      <c r="H7" s="9">
        <v>153</v>
      </c>
      <c r="I7" s="10">
        <v>33</v>
      </c>
      <c r="O7" s="11"/>
    </row>
    <row r="8" spans="1:15" x14ac:dyDescent="0.25">
      <c r="C8" s="12" t="s">
        <v>9</v>
      </c>
      <c r="D8" s="1" t="s">
        <v>10</v>
      </c>
      <c r="E8" s="13">
        <v>200</v>
      </c>
      <c r="F8" s="14">
        <v>800</v>
      </c>
      <c r="G8" s="14">
        <v>100</v>
      </c>
      <c r="H8" s="14">
        <v>99</v>
      </c>
      <c r="I8" s="15">
        <v>33</v>
      </c>
      <c r="O8" s="7"/>
    </row>
    <row r="9" spans="1:15" x14ac:dyDescent="0.25">
      <c r="D9" s="1" t="s">
        <v>11</v>
      </c>
      <c r="E9" s="13">
        <v>200</v>
      </c>
      <c r="F9" s="14">
        <v>0</v>
      </c>
      <c r="G9" s="14">
        <v>100</v>
      </c>
      <c r="H9" s="14">
        <v>451</v>
      </c>
      <c r="I9" s="15">
        <v>34</v>
      </c>
      <c r="O9" s="7"/>
    </row>
    <row r="10" spans="1:15" ht="21.75" thickBot="1" x14ac:dyDescent="0.4">
      <c r="A10" s="33" t="s">
        <v>18</v>
      </c>
      <c r="D10" s="1" t="s">
        <v>12</v>
      </c>
      <c r="E10" s="16">
        <v>100</v>
      </c>
      <c r="F10" s="17">
        <v>0</v>
      </c>
      <c r="G10" s="17">
        <v>600</v>
      </c>
      <c r="H10" s="17">
        <v>30</v>
      </c>
      <c r="I10" s="18">
        <v>800</v>
      </c>
      <c r="O10" s="7"/>
    </row>
    <row r="11" spans="1:15" x14ac:dyDescent="0.25">
      <c r="O11" s="7"/>
    </row>
    <row r="12" spans="1:15" x14ac:dyDescent="0.25">
      <c r="C12" s="1" t="s">
        <v>19</v>
      </c>
      <c r="O12" s="7"/>
    </row>
    <row r="13" spans="1:15" ht="15.75" thickBot="1" x14ac:dyDescent="0.3">
      <c r="E13" s="2" t="s">
        <v>1</v>
      </c>
      <c r="F13" s="2" t="s">
        <v>2</v>
      </c>
      <c r="G13" s="2" t="s">
        <v>3</v>
      </c>
      <c r="H13" s="2" t="s">
        <v>4</v>
      </c>
      <c r="I13" s="3" t="s">
        <v>5</v>
      </c>
      <c r="J13" s="2" t="s">
        <v>16</v>
      </c>
      <c r="O13" s="11"/>
    </row>
    <row r="14" spans="1:15" x14ac:dyDescent="0.25">
      <c r="D14" s="1" t="s">
        <v>7</v>
      </c>
      <c r="E14" s="19">
        <v>0</v>
      </c>
      <c r="F14" s="20">
        <v>0</v>
      </c>
      <c r="G14" s="20">
        <v>1</v>
      </c>
      <c r="H14" s="20">
        <v>0</v>
      </c>
      <c r="I14" s="21">
        <v>0</v>
      </c>
      <c r="J14" s="22">
        <f>SUM(E14:I14)</f>
        <v>1</v>
      </c>
      <c r="K14" s="12" t="s">
        <v>13</v>
      </c>
      <c r="L14" s="9">
        <v>1</v>
      </c>
      <c r="O14" s="7"/>
    </row>
    <row r="15" spans="1:15" x14ac:dyDescent="0.25">
      <c r="D15" s="1" t="s">
        <v>8</v>
      </c>
      <c r="E15" s="23">
        <v>1</v>
      </c>
      <c r="F15" s="24">
        <v>0</v>
      </c>
      <c r="G15" s="24">
        <v>0</v>
      </c>
      <c r="H15" s="24">
        <v>0</v>
      </c>
      <c r="I15" s="25">
        <v>0</v>
      </c>
      <c r="J15" s="22">
        <f t="shared" ref="J15:J18" si="0">SUM(E15:I15)</f>
        <v>1</v>
      </c>
      <c r="K15" s="12" t="s">
        <v>13</v>
      </c>
      <c r="L15" s="9">
        <v>1</v>
      </c>
      <c r="O15" s="7"/>
    </row>
    <row r="16" spans="1:15" x14ac:dyDescent="0.25">
      <c r="D16" s="1" t="s">
        <v>10</v>
      </c>
      <c r="E16" s="23">
        <v>0</v>
      </c>
      <c r="F16" s="24">
        <v>1</v>
      </c>
      <c r="G16" s="24">
        <v>0</v>
      </c>
      <c r="H16" s="24">
        <v>0</v>
      </c>
      <c r="I16" s="25">
        <v>0</v>
      </c>
      <c r="J16" s="22">
        <f t="shared" si="0"/>
        <v>1</v>
      </c>
      <c r="K16" s="12" t="s">
        <v>13</v>
      </c>
      <c r="L16" s="9">
        <v>1</v>
      </c>
      <c r="O16" s="7"/>
    </row>
    <row r="17" spans="4:15" x14ac:dyDescent="0.25">
      <c r="D17" s="1" t="s">
        <v>11</v>
      </c>
      <c r="E17" s="23">
        <v>0</v>
      </c>
      <c r="F17" s="24">
        <v>0</v>
      </c>
      <c r="G17" s="24">
        <v>0</v>
      </c>
      <c r="H17" s="24">
        <v>1</v>
      </c>
      <c r="I17" s="25">
        <v>0</v>
      </c>
      <c r="J17" s="22">
        <f t="shared" si="0"/>
        <v>1</v>
      </c>
      <c r="K17" s="12" t="s">
        <v>13</v>
      </c>
      <c r="L17" s="9">
        <v>1</v>
      </c>
      <c r="O17" s="7"/>
    </row>
    <row r="18" spans="4:15" ht="15.75" thickBot="1" x14ac:dyDescent="0.3">
      <c r="D18" s="1" t="s">
        <v>12</v>
      </c>
      <c r="E18" s="26">
        <v>0</v>
      </c>
      <c r="F18" s="27">
        <v>0</v>
      </c>
      <c r="G18" s="27">
        <v>0</v>
      </c>
      <c r="H18" s="27">
        <v>0</v>
      </c>
      <c r="I18" s="28">
        <v>1</v>
      </c>
      <c r="J18" s="22">
        <f t="shared" si="0"/>
        <v>1</v>
      </c>
      <c r="K18" s="12" t="s">
        <v>13</v>
      </c>
      <c r="L18" s="9">
        <v>1</v>
      </c>
      <c r="O18" s="7"/>
    </row>
    <row r="19" spans="4:15" x14ac:dyDescent="0.25">
      <c r="D19" s="2" t="s">
        <v>17</v>
      </c>
      <c r="E19" s="22">
        <f>SUM(E14:E18)</f>
        <v>1</v>
      </c>
      <c r="F19" s="22">
        <f t="shared" ref="F19:I19" si="1">SUM(F14:F18)</f>
        <v>1</v>
      </c>
      <c r="G19" s="22">
        <f t="shared" si="1"/>
        <v>1</v>
      </c>
      <c r="H19" s="22">
        <f t="shared" si="1"/>
        <v>1</v>
      </c>
      <c r="I19" s="22">
        <f t="shared" si="1"/>
        <v>1</v>
      </c>
      <c r="K19" s="29"/>
      <c r="L19" s="29"/>
    </row>
    <row r="20" spans="4:15" x14ac:dyDescent="0.25">
      <c r="E20" s="12" t="s">
        <v>13</v>
      </c>
      <c r="F20" s="12" t="s">
        <v>13</v>
      </c>
      <c r="G20" s="12" t="s">
        <v>13</v>
      </c>
      <c r="H20" s="12" t="s">
        <v>13</v>
      </c>
      <c r="I20" s="12" t="s">
        <v>13</v>
      </c>
      <c r="J20" s="68" t="s">
        <v>15</v>
      </c>
      <c r="K20" s="68"/>
      <c r="L20" s="32">
        <f>SUMPRODUCT(E6:I10,E14:I18)</f>
        <v>2551</v>
      </c>
    </row>
    <row r="21" spans="4:15" x14ac:dyDescent="0.25">
      <c r="E21" s="9">
        <v>1</v>
      </c>
      <c r="F21" s="9">
        <v>1</v>
      </c>
      <c r="G21" s="9">
        <v>1</v>
      </c>
      <c r="H21" s="9">
        <v>1</v>
      </c>
      <c r="I21" s="9">
        <v>1</v>
      </c>
    </row>
  </sheetData>
  <mergeCells count="3">
    <mergeCell ref="D1:F1"/>
    <mergeCell ref="D2:F2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85" workbookViewId="0">
      <selection activeCell="A5" sqref="A5:A7"/>
    </sheetView>
  </sheetViews>
  <sheetFormatPr defaultRowHeight="15" x14ac:dyDescent="0.25"/>
  <cols>
    <col min="1" max="1" width="53.28515625" bestFit="1" customWidth="1"/>
  </cols>
  <sheetData>
    <row r="1" spans="1:13" ht="18.75" x14ac:dyDescent="0.3">
      <c r="B1" s="34"/>
      <c r="E1" s="34"/>
      <c r="F1" s="67" t="s">
        <v>14</v>
      </c>
      <c r="G1" s="67"/>
      <c r="H1" s="67"/>
    </row>
    <row r="2" spans="1:13" ht="18.75" x14ac:dyDescent="0.3">
      <c r="B2" s="34"/>
      <c r="F2" s="67" t="s">
        <v>6</v>
      </c>
      <c r="G2" s="67"/>
      <c r="H2" s="67"/>
    </row>
    <row r="3" spans="1:13" ht="18.75" x14ac:dyDescent="0.3">
      <c r="B3" s="34"/>
      <c r="G3" s="35"/>
      <c r="K3" s="30"/>
      <c r="L3" s="30"/>
      <c r="M3" s="30"/>
    </row>
    <row r="4" spans="1:13" ht="18.75" x14ac:dyDescent="0.3">
      <c r="D4" s="1"/>
      <c r="E4" s="1"/>
      <c r="F4" s="1"/>
      <c r="G4" s="35" t="s">
        <v>9</v>
      </c>
      <c r="H4" s="1"/>
      <c r="I4" s="1"/>
      <c r="J4" s="1"/>
    </row>
    <row r="5" spans="1:13" ht="21.75" thickBot="1" x14ac:dyDescent="0.4">
      <c r="A5" s="33" t="s">
        <v>31</v>
      </c>
      <c r="D5" s="12"/>
      <c r="E5" s="61" t="s">
        <v>7</v>
      </c>
      <c r="F5" s="61" t="s">
        <v>8</v>
      </c>
      <c r="G5" s="61" t="s">
        <v>10</v>
      </c>
      <c r="H5" s="61" t="s">
        <v>11</v>
      </c>
      <c r="I5" s="62" t="s">
        <v>12</v>
      </c>
      <c r="J5" s="61" t="s">
        <v>20</v>
      </c>
    </row>
    <row r="6" spans="1:13" ht="21" x14ac:dyDescent="0.35">
      <c r="A6" s="33" t="s">
        <v>32</v>
      </c>
      <c r="C6" s="34"/>
      <c r="D6" s="61" t="s">
        <v>1</v>
      </c>
      <c r="E6" s="37">
        <v>100</v>
      </c>
      <c r="F6" s="38">
        <v>400</v>
      </c>
      <c r="G6" s="38">
        <v>200</v>
      </c>
      <c r="H6" s="38">
        <v>200</v>
      </c>
      <c r="I6" s="39">
        <v>100</v>
      </c>
      <c r="J6" s="29">
        <v>1</v>
      </c>
    </row>
    <row r="7" spans="1:13" ht="21" x14ac:dyDescent="0.35">
      <c r="A7" s="33" t="s">
        <v>33</v>
      </c>
      <c r="C7" s="34"/>
      <c r="D7" s="61" t="s">
        <v>2</v>
      </c>
      <c r="E7" s="40">
        <v>0</v>
      </c>
      <c r="F7" s="41">
        <v>200</v>
      </c>
      <c r="G7" s="41">
        <v>800</v>
      </c>
      <c r="H7" s="41">
        <v>0</v>
      </c>
      <c r="I7" s="42">
        <v>0</v>
      </c>
      <c r="J7" s="29">
        <v>1</v>
      </c>
    </row>
    <row r="8" spans="1:13" ht="18.75" x14ac:dyDescent="0.3">
      <c r="C8" s="34" t="s">
        <v>21</v>
      </c>
      <c r="D8" s="61" t="s">
        <v>3</v>
      </c>
      <c r="E8" s="43">
        <v>100</v>
      </c>
      <c r="F8" s="44">
        <v>100</v>
      </c>
      <c r="G8" s="44">
        <v>100</v>
      </c>
      <c r="H8" s="44">
        <v>100</v>
      </c>
      <c r="I8" s="45">
        <v>600</v>
      </c>
      <c r="J8" s="29">
        <v>1</v>
      </c>
    </row>
    <row r="9" spans="1:13" ht="18.75" x14ac:dyDescent="0.3">
      <c r="C9" s="34"/>
      <c r="D9" s="61" t="s">
        <v>4</v>
      </c>
      <c r="E9" s="43">
        <v>267</v>
      </c>
      <c r="F9" s="44">
        <v>153</v>
      </c>
      <c r="G9" s="44">
        <v>99</v>
      </c>
      <c r="H9" s="44">
        <v>451</v>
      </c>
      <c r="I9" s="45">
        <v>30</v>
      </c>
      <c r="J9" s="29">
        <v>1</v>
      </c>
    </row>
    <row r="10" spans="1:13" ht="21.75" thickBot="1" x14ac:dyDescent="0.4">
      <c r="A10" s="33" t="s">
        <v>27</v>
      </c>
      <c r="C10" s="34"/>
      <c r="D10" s="61" t="s">
        <v>5</v>
      </c>
      <c r="E10" s="46">
        <v>100</v>
      </c>
      <c r="F10" s="47">
        <v>33</v>
      </c>
      <c r="G10" s="47">
        <v>33</v>
      </c>
      <c r="H10" s="47">
        <v>34</v>
      </c>
      <c r="I10" s="48">
        <v>800</v>
      </c>
      <c r="J10" s="29">
        <v>1</v>
      </c>
    </row>
    <row r="11" spans="1:13" x14ac:dyDescent="0.25">
      <c r="C11" s="1" t="s">
        <v>22</v>
      </c>
      <c r="D11" s="12"/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/>
    </row>
    <row r="12" spans="1:13" x14ac:dyDescent="0.25">
      <c r="C12" s="1"/>
      <c r="D12" s="12"/>
      <c r="E12" s="29"/>
      <c r="F12" s="29"/>
      <c r="G12" s="29"/>
      <c r="H12" s="29"/>
      <c r="I12" s="29"/>
      <c r="J12" s="29"/>
    </row>
    <row r="13" spans="1:13" ht="18.75" x14ac:dyDescent="0.3">
      <c r="G13" s="35" t="s">
        <v>23</v>
      </c>
    </row>
    <row r="14" spans="1:13" ht="18.75" x14ac:dyDescent="0.3">
      <c r="D14" s="1"/>
      <c r="E14" s="1"/>
      <c r="F14" s="1"/>
      <c r="G14" s="35" t="s">
        <v>9</v>
      </c>
      <c r="H14" s="1"/>
      <c r="I14" s="1"/>
    </row>
    <row r="15" spans="1:13" ht="15.75" thickBot="1" x14ac:dyDescent="0.3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3" ht="18.75" x14ac:dyDescent="0.3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v>1</v>
      </c>
      <c r="K16" s="35" t="s">
        <v>13</v>
      </c>
      <c r="L16" s="29">
        <v>1</v>
      </c>
    </row>
    <row r="17" spans="3:12" ht="18.75" x14ac:dyDescent="0.3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v>1</v>
      </c>
      <c r="K17" s="35" t="s">
        <v>13</v>
      </c>
      <c r="L17" s="29">
        <v>1</v>
      </c>
    </row>
    <row r="18" spans="3:12" ht="18.75" x14ac:dyDescent="0.3">
      <c r="C18" s="34" t="s">
        <v>21</v>
      </c>
      <c r="D18" s="61" t="s">
        <v>3</v>
      </c>
      <c r="E18" s="56">
        <v>1</v>
      </c>
      <c r="F18" s="50">
        <v>0</v>
      </c>
      <c r="G18" s="50">
        <v>0</v>
      </c>
      <c r="H18" s="50">
        <v>0</v>
      </c>
      <c r="I18" s="57">
        <v>0</v>
      </c>
      <c r="J18" s="36">
        <v>1</v>
      </c>
      <c r="K18" s="35" t="s">
        <v>13</v>
      </c>
      <c r="L18" s="29">
        <v>1</v>
      </c>
    </row>
    <row r="19" spans="3:12" ht="18.75" x14ac:dyDescent="0.3">
      <c r="C19" s="34"/>
      <c r="D19" s="61" t="s">
        <v>4</v>
      </c>
      <c r="E19" s="56">
        <v>0</v>
      </c>
      <c r="F19" s="50">
        <v>0</v>
      </c>
      <c r="G19" s="50">
        <v>0</v>
      </c>
      <c r="H19" s="50">
        <v>1</v>
      </c>
      <c r="I19" s="57">
        <v>0</v>
      </c>
      <c r="J19" s="36">
        <v>1</v>
      </c>
      <c r="K19" s="35" t="s">
        <v>13</v>
      </c>
      <c r="L19" s="29">
        <v>1</v>
      </c>
    </row>
    <row r="20" spans="3:12" ht="19.5" thickBot="1" x14ac:dyDescent="0.35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0</v>
      </c>
      <c r="I20" s="60">
        <v>1</v>
      </c>
      <c r="J20" s="36">
        <v>1</v>
      </c>
      <c r="K20" s="35" t="s">
        <v>13</v>
      </c>
      <c r="L20" s="29">
        <v>1</v>
      </c>
    </row>
    <row r="21" spans="3:12" ht="18.75" x14ac:dyDescent="0.3">
      <c r="C21" s="34" t="s">
        <v>24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K21" s="35"/>
      <c r="L21" s="34"/>
    </row>
    <row r="22" spans="3:12" ht="18.75" x14ac:dyDescent="0.3">
      <c r="E22" s="35" t="s">
        <v>13</v>
      </c>
      <c r="F22" s="35" t="s">
        <v>13</v>
      </c>
      <c r="G22" s="35" t="s">
        <v>13</v>
      </c>
      <c r="H22" s="35" t="s">
        <v>13</v>
      </c>
      <c r="I22" s="35" t="s">
        <v>13</v>
      </c>
      <c r="J22" s="35" t="s">
        <v>25</v>
      </c>
      <c r="K22">
        <f>SUMPRODUCT(E6:I10,E16:I20)</f>
        <v>2551</v>
      </c>
    </row>
    <row r="23" spans="3:12" x14ac:dyDescent="0.25">
      <c r="C23" s="1" t="s">
        <v>22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61" workbookViewId="0">
      <selection activeCell="A5" sqref="A5:A7"/>
    </sheetView>
  </sheetViews>
  <sheetFormatPr defaultRowHeight="15" x14ac:dyDescent="0.25"/>
  <cols>
    <col min="1" max="1" width="53" bestFit="1" customWidth="1"/>
  </cols>
  <sheetData>
    <row r="1" spans="1:12" ht="18.75" x14ac:dyDescent="0.3">
      <c r="B1" s="34"/>
      <c r="E1" s="34"/>
      <c r="G1" s="67" t="s">
        <v>14</v>
      </c>
      <c r="H1" s="67"/>
      <c r="I1" s="67"/>
    </row>
    <row r="2" spans="1:12" ht="18.75" x14ac:dyDescent="0.3">
      <c r="B2" s="34"/>
      <c r="E2" s="34"/>
      <c r="G2" s="67" t="s">
        <v>6</v>
      </c>
      <c r="H2" s="67"/>
      <c r="I2" s="67"/>
    </row>
    <row r="3" spans="1:12" ht="18.75" x14ac:dyDescent="0.3">
      <c r="B3" s="34"/>
      <c r="E3" s="34"/>
    </row>
    <row r="4" spans="1:12" ht="18.75" x14ac:dyDescent="0.3">
      <c r="B4" s="34"/>
      <c r="G4" s="35"/>
    </row>
    <row r="5" spans="1:12" ht="21" x14ac:dyDescent="0.35">
      <c r="A5" s="33" t="s">
        <v>31</v>
      </c>
      <c r="D5" s="1"/>
      <c r="E5" s="1"/>
      <c r="F5" s="1"/>
      <c r="G5" s="35" t="s">
        <v>9</v>
      </c>
      <c r="H5" s="1"/>
      <c r="I5" s="1"/>
      <c r="J5" s="1"/>
    </row>
    <row r="6" spans="1:12" ht="21.75" thickBot="1" x14ac:dyDescent="0.4">
      <c r="A6" s="33" t="s">
        <v>32</v>
      </c>
      <c r="D6" s="12"/>
      <c r="E6" s="61" t="s">
        <v>7</v>
      </c>
      <c r="F6" s="61" t="s">
        <v>8</v>
      </c>
      <c r="G6" s="61" t="s">
        <v>10</v>
      </c>
      <c r="H6" s="61" t="s">
        <v>11</v>
      </c>
      <c r="I6" s="62" t="s">
        <v>12</v>
      </c>
      <c r="J6" s="61" t="s">
        <v>20</v>
      </c>
    </row>
    <row r="7" spans="1:12" ht="21" x14ac:dyDescent="0.35">
      <c r="A7" s="33" t="s">
        <v>33</v>
      </c>
      <c r="C7" s="34"/>
      <c r="D7" s="61" t="s">
        <v>1</v>
      </c>
      <c r="E7" s="37">
        <v>86</v>
      </c>
      <c r="F7" s="38">
        <v>343</v>
      </c>
      <c r="G7" s="38">
        <v>171</v>
      </c>
      <c r="H7" s="38">
        <v>-10000</v>
      </c>
      <c r="I7" s="39">
        <v>-10000</v>
      </c>
      <c r="J7" s="29">
        <v>1</v>
      </c>
    </row>
    <row r="8" spans="1:12" ht="18.75" x14ac:dyDescent="0.3">
      <c r="C8" s="34"/>
      <c r="D8" s="61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2" ht="18.75" x14ac:dyDescent="0.3">
      <c r="C9" s="34" t="s">
        <v>21</v>
      </c>
      <c r="D9" s="61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2" ht="21" x14ac:dyDescent="0.35">
      <c r="A10" s="33" t="s">
        <v>26</v>
      </c>
      <c r="C10" s="34"/>
      <c r="D10" s="61" t="s">
        <v>4</v>
      </c>
      <c r="E10" s="43">
        <v>300</v>
      </c>
      <c r="F10" s="44">
        <v>-10000</v>
      </c>
      <c r="G10" s="44">
        <v>125</v>
      </c>
      <c r="H10" s="44">
        <v>-10000</v>
      </c>
      <c r="I10" s="45">
        <v>175</v>
      </c>
      <c r="J10" s="29">
        <v>1</v>
      </c>
    </row>
    <row r="11" spans="1:12" ht="19.5" thickBot="1" x14ac:dyDescent="0.35">
      <c r="C11" s="34"/>
      <c r="D11" s="61" t="s">
        <v>5</v>
      </c>
      <c r="E11" s="46">
        <v>-10000</v>
      </c>
      <c r="F11" s="47">
        <v>50</v>
      </c>
      <c r="G11" s="47">
        <v>50</v>
      </c>
      <c r="H11" s="47">
        <v>100</v>
      </c>
      <c r="I11" s="48">
        <v>600</v>
      </c>
      <c r="J11" s="29">
        <v>1</v>
      </c>
    </row>
    <row r="12" spans="1:12" x14ac:dyDescent="0.25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2" ht="18.75" x14ac:dyDescent="0.3">
      <c r="G13" s="35" t="s">
        <v>23</v>
      </c>
    </row>
    <row r="14" spans="1:12" ht="18.75" x14ac:dyDescent="0.3">
      <c r="D14" s="1"/>
      <c r="E14" s="1"/>
      <c r="F14" s="1"/>
      <c r="G14" s="35" t="s">
        <v>9</v>
      </c>
      <c r="H14" s="1"/>
      <c r="I14" s="1"/>
    </row>
    <row r="15" spans="1:12" ht="15.75" thickBot="1" x14ac:dyDescent="0.3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2" ht="18.75" x14ac:dyDescent="0.3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v>1</v>
      </c>
      <c r="K16" s="35" t="s">
        <v>13</v>
      </c>
      <c r="L16" s="29">
        <v>1</v>
      </c>
    </row>
    <row r="17" spans="3:12" ht="18.75" x14ac:dyDescent="0.3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v>1</v>
      </c>
      <c r="K17" s="35" t="s">
        <v>13</v>
      </c>
      <c r="L17" s="29">
        <v>1</v>
      </c>
    </row>
    <row r="18" spans="3:12" ht="18.75" x14ac:dyDescent="0.3">
      <c r="C18" s="34" t="s">
        <v>21</v>
      </c>
      <c r="D18" s="61" t="s">
        <v>3</v>
      </c>
      <c r="E18" s="56">
        <v>0</v>
      </c>
      <c r="F18" s="50">
        <v>0</v>
      </c>
      <c r="G18" s="50">
        <v>0</v>
      </c>
      <c r="H18" s="50">
        <v>0</v>
      </c>
      <c r="I18" s="57">
        <v>1</v>
      </c>
      <c r="J18" s="36">
        <v>1</v>
      </c>
      <c r="K18" s="35" t="s">
        <v>13</v>
      </c>
      <c r="L18" s="29">
        <v>1</v>
      </c>
    </row>
    <row r="19" spans="3:12" ht="18.75" x14ac:dyDescent="0.3">
      <c r="C19" s="34"/>
      <c r="D19" s="61" t="s">
        <v>4</v>
      </c>
      <c r="E19" s="56">
        <v>1</v>
      </c>
      <c r="F19" s="50">
        <v>0</v>
      </c>
      <c r="G19" s="50">
        <v>0</v>
      </c>
      <c r="H19" s="50">
        <v>0</v>
      </c>
      <c r="I19" s="57">
        <v>0</v>
      </c>
      <c r="J19" s="36">
        <v>1</v>
      </c>
      <c r="K19" s="35" t="s">
        <v>13</v>
      </c>
      <c r="L19" s="29">
        <v>1</v>
      </c>
    </row>
    <row r="20" spans="3:12" ht="19.5" thickBot="1" x14ac:dyDescent="0.35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1</v>
      </c>
      <c r="I20" s="60">
        <v>0</v>
      </c>
      <c r="J20" s="36">
        <v>1</v>
      </c>
      <c r="K20" s="35" t="s">
        <v>13</v>
      </c>
      <c r="L20" s="29">
        <v>1</v>
      </c>
    </row>
    <row r="21" spans="3:12" ht="18.75" x14ac:dyDescent="0.3">
      <c r="C21" s="34" t="s">
        <v>24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K21" s="35"/>
      <c r="L21" s="34"/>
    </row>
    <row r="22" spans="3:12" ht="18.75" x14ac:dyDescent="0.3">
      <c r="E22" s="35" t="s">
        <v>13</v>
      </c>
      <c r="F22" s="35" t="s">
        <v>13</v>
      </c>
      <c r="G22" s="35" t="s">
        <v>13</v>
      </c>
      <c r="H22" s="35" t="s">
        <v>13</v>
      </c>
      <c r="I22" s="35" t="s">
        <v>13</v>
      </c>
      <c r="J22" s="31" t="s">
        <v>24</v>
      </c>
      <c r="K22" s="32">
        <f>SUMPRODUCT(E7:I11,E16:I20)</f>
        <v>2143</v>
      </c>
    </row>
    <row r="23" spans="3:12" x14ac:dyDescent="0.25">
      <c r="C23" s="1" t="s">
        <v>22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G1:I1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85" zoomScaleNormal="85" workbookViewId="0">
      <selection activeCell="A5" sqref="A5:A7"/>
    </sheetView>
  </sheetViews>
  <sheetFormatPr defaultRowHeight="15" x14ac:dyDescent="0.25"/>
  <cols>
    <col min="1" max="1" width="53.28515625" bestFit="1" customWidth="1"/>
    <col min="3" max="3" width="11.5703125" customWidth="1"/>
  </cols>
  <sheetData>
    <row r="1" spans="1:10" ht="15.75" x14ac:dyDescent="0.25">
      <c r="F1" s="67" t="s">
        <v>14</v>
      </c>
      <c r="G1" s="67"/>
      <c r="H1" s="67"/>
    </row>
    <row r="2" spans="1:10" ht="15.75" x14ac:dyDescent="0.25">
      <c r="F2" s="67" t="s">
        <v>6</v>
      </c>
      <c r="G2" s="67"/>
      <c r="H2" s="67"/>
    </row>
    <row r="3" spans="1:10" ht="18.75" x14ac:dyDescent="0.3">
      <c r="B3" s="34"/>
      <c r="E3" s="34"/>
    </row>
    <row r="4" spans="1:10" ht="18.75" x14ac:dyDescent="0.3">
      <c r="B4" s="34"/>
      <c r="G4" s="35" t="s">
        <v>29</v>
      </c>
    </row>
    <row r="5" spans="1:10" ht="21" x14ac:dyDescent="0.35">
      <c r="A5" s="33" t="s">
        <v>31</v>
      </c>
      <c r="D5" s="1"/>
      <c r="E5" s="1"/>
      <c r="F5" s="1"/>
      <c r="G5" s="35" t="s">
        <v>9</v>
      </c>
      <c r="H5" s="1"/>
      <c r="I5" s="1"/>
      <c r="J5" s="1"/>
    </row>
    <row r="6" spans="1:10" ht="21.75" thickBot="1" x14ac:dyDescent="0.4">
      <c r="A6" s="33" t="s">
        <v>32</v>
      </c>
      <c r="D6" s="12"/>
      <c r="E6" s="64" t="s">
        <v>7</v>
      </c>
      <c r="F6" s="64" t="s">
        <v>8</v>
      </c>
      <c r="G6" s="64" t="s">
        <v>10</v>
      </c>
      <c r="H6" s="64" t="s">
        <v>11</v>
      </c>
      <c r="I6" s="65" t="s">
        <v>12</v>
      </c>
      <c r="J6" s="12" t="s">
        <v>20</v>
      </c>
    </row>
    <row r="7" spans="1:10" ht="21" x14ac:dyDescent="0.35">
      <c r="A7" s="33" t="s">
        <v>33</v>
      </c>
      <c r="C7" s="34"/>
      <c r="D7" s="64" t="s">
        <v>1</v>
      </c>
      <c r="E7" s="37">
        <v>100</v>
      </c>
      <c r="F7" s="38">
        <v>400</v>
      </c>
      <c r="G7" s="38">
        <v>200</v>
      </c>
      <c r="H7" s="38">
        <v>200</v>
      </c>
      <c r="I7" s="39">
        <v>100</v>
      </c>
      <c r="J7" s="29">
        <v>1</v>
      </c>
    </row>
    <row r="8" spans="1:10" ht="18.75" x14ac:dyDescent="0.3">
      <c r="C8" s="34"/>
      <c r="D8" s="64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0" ht="18.75" x14ac:dyDescent="0.3">
      <c r="C9" s="34" t="s">
        <v>21</v>
      </c>
      <c r="D9" s="64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0" ht="21" x14ac:dyDescent="0.35">
      <c r="A10" s="33" t="s">
        <v>28</v>
      </c>
      <c r="C10" s="34"/>
      <c r="D10" s="64" t="s">
        <v>4</v>
      </c>
      <c r="E10" s="43">
        <v>267</v>
      </c>
      <c r="F10" s="44">
        <v>153</v>
      </c>
      <c r="G10" s="44">
        <v>99</v>
      </c>
      <c r="H10" s="44">
        <v>451</v>
      </c>
      <c r="I10" s="45">
        <v>30</v>
      </c>
      <c r="J10" s="29">
        <v>1</v>
      </c>
    </row>
    <row r="11" spans="1:10" ht="19.5" thickBot="1" x14ac:dyDescent="0.35">
      <c r="C11" s="34"/>
      <c r="D11" s="64" t="s">
        <v>30</v>
      </c>
      <c r="E11" s="46">
        <v>-1</v>
      </c>
      <c r="F11" s="46">
        <v>-1</v>
      </c>
      <c r="G11" s="46">
        <v>-1</v>
      </c>
      <c r="H11" s="46">
        <v>-1</v>
      </c>
      <c r="I11" s="46">
        <v>-1</v>
      </c>
      <c r="J11" s="29">
        <v>1</v>
      </c>
    </row>
    <row r="12" spans="1:10" x14ac:dyDescent="0.25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0" x14ac:dyDescent="0.25">
      <c r="C13" s="1"/>
      <c r="D13" s="12"/>
      <c r="E13" s="29"/>
      <c r="F13" s="29"/>
      <c r="G13" s="29"/>
      <c r="H13" s="29"/>
      <c r="I13" s="29"/>
      <c r="J13" s="29"/>
    </row>
    <row r="14" spans="1:10" x14ac:dyDescent="0.25">
      <c r="C14" s="1"/>
      <c r="D14" s="12"/>
      <c r="E14" s="29"/>
      <c r="F14" s="29"/>
      <c r="G14" s="29"/>
      <c r="H14" s="29"/>
      <c r="I14" s="29"/>
      <c r="J14" s="29"/>
    </row>
    <row r="15" spans="1:10" ht="18.75" x14ac:dyDescent="0.3">
      <c r="G15" s="35" t="s">
        <v>23</v>
      </c>
    </row>
    <row r="16" spans="1:10" ht="18.75" x14ac:dyDescent="0.3">
      <c r="D16" s="1"/>
      <c r="E16" s="1"/>
      <c r="F16" s="1"/>
      <c r="G16" s="35" t="s">
        <v>9</v>
      </c>
      <c r="H16" s="1"/>
      <c r="I16" s="1"/>
    </row>
    <row r="17" spans="3:12" ht="16.5" thickBot="1" x14ac:dyDescent="0.3">
      <c r="D17" s="12"/>
      <c r="E17" s="64" t="s">
        <v>7</v>
      </c>
      <c r="F17" s="64" t="s">
        <v>8</v>
      </c>
      <c r="G17" s="64" t="s">
        <v>10</v>
      </c>
      <c r="H17" s="64" t="s">
        <v>11</v>
      </c>
      <c r="I17" s="65" t="s">
        <v>12</v>
      </c>
      <c r="J17" s="64" t="s">
        <v>24</v>
      </c>
      <c r="L17" s="12" t="s">
        <v>20</v>
      </c>
    </row>
    <row r="18" spans="3:12" ht="18.75" x14ac:dyDescent="0.3">
      <c r="C18" s="34"/>
      <c r="D18" s="64" t="s">
        <v>1</v>
      </c>
      <c r="E18" s="51">
        <v>0</v>
      </c>
      <c r="F18" s="52">
        <v>1</v>
      </c>
      <c r="G18" s="52">
        <v>0</v>
      </c>
      <c r="H18" s="52">
        <v>0</v>
      </c>
      <c r="I18" s="53">
        <v>0</v>
      </c>
      <c r="J18" s="36">
        <f>SUM(E18:I18)</f>
        <v>1</v>
      </c>
      <c r="K18" s="35" t="s">
        <v>13</v>
      </c>
      <c r="L18" s="29">
        <v>1</v>
      </c>
    </row>
    <row r="19" spans="3:12" ht="18.75" x14ac:dyDescent="0.3">
      <c r="C19" s="34"/>
      <c r="D19" s="64" t="s">
        <v>2</v>
      </c>
      <c r="E19" s="54">
        <v>0</v>
      </c>
      <c r="F19" s="49">
        <v>0</v>
      </c>
      <c r="G19" s="49">
        <v>1</v>
      </c>
      <c r="H19" s="49">
        <v>0</v>
      </c>
      <c r="I19" s="55">
        <v>0</v>
      </c>
      <c r="J19" s="36">
        <f t="shared" ref="J19:J22" si="0">SUM(E19:I19)</f>
        <v>1</v>
      </c>
      <c r="K19" s="35" t="s">
        <v>13</v>
      </c>
      <c r="L19" s="29">
        <v>1</v>
      </c>
    </row>
    <row r="20" spans="3:12" ht="18.75" x14ac:dyDescent="0.3">
      <c r="C20" s="34" t="s">
        <v>21</v>
      </c>
      <c r="D20" s="64" t="s">
        <v>3</v>
      </c>
      <c r="E20" s="56">
        <v>0</v>
      </c>
      <c r="F20" s="50">
        <v>0</v>
      </c>
      <c r="G20" s="50">
        <v>0</v>
      </c>
      <c r="H20" s="50">
        <v>0</v>
      </c>
      <c r="I20" s="57">
        <v>1</v>
      </c>
      <c r="J20" s="36">
        <f t="shared" si="0"/>
        <v>1</v>
      </c>
      <c r="K20" s="35" t="s">
        <v>13</v>
      </c>
      <c r="L20" s="29">
        <v>1</v>
      </c>
    </row>
    <row r="21" spans="3:12" ht="18.75" x14ac:dyDescent="0.3">
      <c r="C21" s="34"/>
      <c r="D21" s="64" t="s">
        <v>4</v>
      </c>
      <c r="E21" s="56">
        <v>0</v>
      </c>
      <c r="F21" s="50">
        <v>0</v>
      </c>
      <c r="G21" s="50">
        <v>0</v>
      </c>
      <c r="H21" s="50">
        <v>1</v>
      </c>
      <c r="I21" s="57">
        <v>0</v>
      </c>
      <c r="J21" s="36">
        <f t="shared" si="0"/>
        <v>1</v>
      </c>
      <c r="K21" s="35" t="s">
        <v>13</v>
      </c>
      <c r="L21" s="29">
        <v>1</v>
      </c>
    </row>
    <row r="22" spans="3:12" ht="19.5" thickBot="1" x14ac:dyDescent="0.35">
      <c r="C22" s="34"/>
      <c r="D22" s="64" t="s">
        <v>30</v>
      </c>
      <c r="E22" s="58">
        <v>1</v>
      </c>
      <c r="F22" s="59">
        <v>0</v>
      </c>
      <c r="G22" s="59">
        <v>0</v>
      </c>
      <c r="H22" s="59">
        <v>0</v>
      </c>
      <c r="I22" s="60">
        <v>0</v>
      </c>
      <c r="J22" s="36">
        <f t="shared" si="0"/>
        <v>1</v>
      </c>
      <c r="K22" s="35" t="s">
        <v>13</v>
      </c>
      <c r="L22" s="29">
        <v>1</v>
      </c>
    </row>
    <row r="23" spans="3:12" ht="21" x14ac:dyDescent="0.35">
      <c r="C23" s="34" t="s">
        <v>24</v>
      </c>
      <c r="E23" s="36">
        <f>SUM(E18:E22)</f>
        <v>1</v>
      </c>
      <c r="F23" s="36">
        <f t="shared" ref="F23:I23" si="1">SUM(F18:F22)</f>
        <v>1</v>
      </c>
      <c r="G23" s="36">
        <f t="shared" si="1"/>
        <v>1</v>
      </c>
      <c r="H23" s="36">
        <f t="shared" si="1"/>
        <v>1</v>
      </c>
      <c r="I23" s="36">
        <f t="shared" si="1"/>
        <v>1</v>
      </c>
      <c r="J23" s="66" t="s">
        <v>24</v>
      </c>
      <c r="K23" s="35" t="s">
        <v>13</v>
      </c>
      <c r="L23" s="34">
        <f>SUMPRODUCT(E7:I11,E18:I22)</f>
        <v>2250</v>
      </c>
    </row>
    <row r="24" spans="3:12" ht="18.75" x14ac:dyDescent="0.3">
      <c r="E24" s="35" t="s">
        <v>13</v>
      </c>
      <c r="F24" s="35" t="s">
        <v>13</v>
      </c>
      <c r="G24" s="35" t="s">
        <v>13</v>
      </c>
      <c r="H24" s="35" t="s">
        <v>13</v>
      </c>
      <c r="I24" s="35" t="s">
        <v>13</v>
      </c>
    </row>
    <row r="25" spans="3:12" x14ac:dyDescent="0.25">
      <c r="C25" s="1" t="s">
        <v>22</v>
      </c>
      <c r="D25" s="12"/>
      <c r="E25" s="29">
        <v>1</v>
      </c>
      <c r="F25" s="29">
        <v>1</v>
      </c>
      <c r="G25" s="29">
        <v>1</v>
      </c>
      <c r="H25" s="29">
        <v>1</v>
      </c>
      <c r="I25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user</cp:lastModifiedBy>
  <dcterms:created xsi:type="dcterms:W3CDTF">2024-05-04T20:21:06Z</dcterms:created>
  <dcterms:modified xsi:type="dcterms:W3CDTF">2025-11-11T13:48:58Z</dcterms:modified>
</cp:coreProperties>
</file>